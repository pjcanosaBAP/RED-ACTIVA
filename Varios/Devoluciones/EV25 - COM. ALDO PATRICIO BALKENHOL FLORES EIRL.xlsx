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15.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C:\Users\Lenovo\Desktop\RedActiva-Desktop\Varios\Devoluciones\"/>
    </mc:Choice>
  </mc:AlternateContent>
  <xr:revisionPtr revIDLastSave="0" documentId="13_ncr:1_{372F8BE0-82FE-448E-B53D-067C3ABC891D}" xr6:coauthVersionLast="47" xr6:coauthVersionMax="47" xr10:uidLastSave="{00000000-0000-0000-0000-000000000000}"/>
  <bookViews>
    <workbookView xWindow="-120" yWindow="-120" windowWidth="20730" windowHeight="11040" tabRatio="931" firstSheet="1" activeTab="8" xr2:uid="{00000000-000D-0000-FFFF-FFFF00000000}"/>
  </bookViews>
  <sheets>
    <sheet name="Resumen  - Se oculta 2,0" sheetId="64" state="hidden" r:id="rId1"/>
    <sheet name="Inicio" sheetId="40" r:id="rId2"/>
    <sheet name="2.0&gt;&gt;&gt;" sheetId="62" r:id="rId3"/>
    <sheet name="Dashboard Gral (2.0)" sheetId="63" r:id="rId4"/>
    <sheet name="Condicionales 2.0" sheetId="65" r:id="rId5"/>
    <sheet name="IFT" sheetId="54" r:id="rId6"/>
    <sheet name="PLG" sheetId="58" r:id="rId7"/>
    <sheet name="GST" sheetId="59" r:id="rId8"/>
    <sheet name="IDP" sheetId="60" r:id="rId9"/>
    <sheet name="Guia de Evidencias 2,0" sheetId="66" state="hidden" r:id="rId10"/>
    <sheet name="Plan de Acción" sheetId="39" state="hidden" r:id="rId11"/>
    <sheet name="5.0&gt;&gt;&gt;" sheetId="61" state="hidden" r:id="rId12"/>
    <sheet name="Dashboard Gral" sheetId="47" state="hidden" r:id="rId13"/>
    <sheet name="Operacional" sheetId="2" state="hidden" r:id="rId14"/>
    <sheet name="Estandarización" sheetId="42" state="hidden" r:id="rId15"/>
    <sheet name="Mejora" sheetId="43" state="hidden" r:id="rId16"/>
    <sheet name="Condicionales" sheetId="48" state="hidden" r:id="rId17"/>
    <sheet name="Zoom QA" sheetId="52" state="hidden" r:id="rId18"/>
    <sheet name="Zoom SUST" sheetId="50" state="hidden" r:id="rId19"/>
    <sheet name="Summary BPL" sheetId="53" state="hidden" r:id="rId20"/>
    <sheet name="Guia Evidencias 5,0" sheetId="41" state="hidden" r:id="rId21"/>
    <sheet name="Resumen  - Se oculta 5,0" sheetId="45" state="hidden" r:id="rId22"/>
  </sheets>
  <externalReferences>
    <externalReference r:id="rId23"/>
    <externalReference r:id="rId24"/>
    <externalReference r:id="rId25"/>
  </externalReferences>
  <definedNames>
    <definedName name="_xlnm._FilterDatabase" localSheetId="14" hidden="1">Estandarización!$A$7:$I$121</definedName>
    <definedName name="_xlnm._FilterDatabase" localSheetId="7" hidden="1">GST!$A$7:$I$8</definedName>
    <definedName name="_xlnm._FilterDatabase" localSheetId="9" hidden="1">'Guia de Evidencias 2,0'!$A$1:$H$188</definedName>
    <definedName name="_xlnm._FilterDatabase" localSheetId="20" hidden="1">'Guia Evidencias 5,0'!$A$1:$G$343</definedName>
    <definedName name="_xlnm._FilterDatabase" localSheetId="8" hidden="1">IDP!$A$7:$I$8</definedName>
    <definedName name="_xlnm._FilterDatabase" localSheetId="5" hidden="1">IFT!$A$7:$I$17</definedName>
    <definedName name="_xlnm._FilterDatabase" localSheetId="15" hidden="1">Mejora!$A$7:$I$24</definedName>
    <definedName name="_xlnm._FilterDatabase" localSheetId="13" hidden="1">Operacional!$A$7:$I$217</definedName>
    <definedName name="_xlnm._FilterDatabase" localSheetId="10" hidden="1">'Plan de Acción'!$F$4:$H$7</definedName>
    <definedName name="_xlnm._FilterDatabase" localSheetId="6" hidden="1">PLG!$A$7:$I$10</definedName>
    <definedName name="_xlnm._FilterDatabase" localSheetId="0" hidden="1">'Resumen  - Se oculta 2,0'!$B$2:$D$26</definedName>
    <definedName name="_xlnm._FilterDatabase" localSheetId="21" hidden="1">'Resumen  - Se oculta 5,0'!$B$2:$D$111</definedName>
    <definedName name="_xlchart.v2.0" hidden="1">'Zoom QA'!$V$8:$V$10</definedName>
    <definedName name="_xlchart.v2.1" hidden="1">'Zoom QA'!$W$8:$W$10</definedName>
    <definedName name="_xlchart.v2.2" hidden="1">'Zoom SUST'!$V$7:$V$10</definedName>
    <definedName name="_xlchart.v2.3" hidden="1">'Zoom SUST'!$W$7:$W$10</definedName>
    <definedName name="AREA">#REF!</definedName>
    <definedName name="GST">#REF!</definedName>
    <definedName name="IDP">#REF!</definedName>
    <definedName name="IFT">#REF!</definedName>
    <definedName name="PL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64" l="1"/>
  <c r="F103" i="42"/>
  <c r="F102" i="42"/>
  <c r="F52" i="42"/>
  <c r="F51" i="42"/>
  <c r="F50" i="42"/>
  <c r="K66" i="60"/>
  <c r="K65" i="60"/>
  <c r="K64" i="60"/>
  <c r="K63" i="60"/>
  <c r="K62" i="60"/>
  <c r="K61" i="60"/>
  <c r="K60" i="60"/>
  <c r="K59" i="60"/>
  <c r="K56" i="60"/>
  <c r="K55" i="60"/>
  <c r="K54" i="60"/>
  <c r="K53" i="60"/>
  <c r="K52" i="60"/>
  <c r="K51" i="60"/>
  <c r="K50" i="60"/>
  <c r="K47" i="60"/>
  <c r="K46" i="60"/>
  <c r="K45" i="60"/>
  <c r="K44" i="60"/>
  <c r="K43" i="60"/>
  <c r="K40" i="60"/>
  <c r="K39" i="60"/>
  <c r="K38" i="60"/>
  <c r="K37" i="60"/>
  <c r="K36" i="60"/>
  <c r="K35" i="60"/>
  <c r="K34" i="60"/>
  <c r="K31" i="60"/>
  <c r="K30" i="60"/>
  <c r="K29" i="60"/>
  <c r="K28" i="60"/>
  <c r="K27" i="60"/>
  <c r="K26" i="60"/>
  <c r="K25" i="60"/>
  <c r="K24" i="60"/>
  <c r="K23" i="60"/>
  <c r="K22" i="60"/>
  <c r="K21" i="60"/>
  <c r="K20" i="60"/>
  <c r="K19" i="60"/>
  <c r="K18" i="60"/>
  <c r="K17" i="60"/>
  <c r="K16" i="60"/>
  <c r="K15" i="60"/>
  <c r="K12" i="60"/>
  <c r="K11" i="60"/>
  <c r="K10" i="60"/>
  <c r="K9" i="60"/>
  <c r="K63" i="59"/>
  <c r="K62" i="59"/>
  <c r="K61" i="59"/>
  <c r="K60" i="59"/>
  <c r="K59" i="59"/>
  <c r="K58" i="59"/>
  <c r="K57" i="59"/>
  <c r="K56" i="59"/>
  <c r="K55" i="59"/>
  <c r="K54" i="59"/>
  <c r="K53" i="59"/>
  <c r="K50" i="59"/>
  <c r="K49" i="59"/>
  <c r="K46" i="59"/>
  <c r="K45" i="59"/>
  <c r="K44" i="59"/>
  <c r="K43" i="59"/>
  <c r="K40" i="59"/>
  <c r="K39" i="59"/>
  <c r="K38" i="59"/>
  <c r="K37" i="59"/>
  <c r="K36" i="59"/>
  <c r="K35" i="59"/>
  <c r="K34" i="59"/>
  <c r="K33" i="59"/>
  <c r="K32" i="59"/>
  <c r="K29" i="59"/>
  <c r="K28" i="59"/>
  <c r="K27" i="59"/>
  <c r="K26" i="59"/>
  <c r="K25" i="59"/>
  <c r="K24" i="59"/>
  <c r="K23" i="59"/>
  <c r="K22" i="59"/>
  <c r="K21" i="59"/>
  <c r="K20" i="59"/>
  <c r="K19" i="59"/>
  <c r="K18" i="59"/>
  <c r="K17" i="59"/>
  <c r="K16" i="59"/>
  <c r="K15" i="59"/>
  <c r="K14" i="59"/>
  <c r="K13" i="59"/>
  <c r="K12" i="59"/>
  <c r="K11" i="59"/>
  <c r="K10" i="59"/>
  <c r="K9" i="59"/>
  <c r="K60" i="58"/>
  <c r="K59" i="58"/>
  <c r="K58" i="58"/>
  <c r="K57" i="58"/>
  <c r="K54" i="58"/>
  <c r="K53" i="58"/>
  <c r="K52" i="58"/>
  <c r="K51" i="58"/>
  <c r="K50" i="58"/>
  <c r="K49" i="58"/>
  <c r="K46" i="58"/>
  <c r="K45" i="58"/>
  <c r="K44" i="58"/>
  <c r="K43" i="58"/>
  <c r="K42" i="58"/>
  <c r="K41" i="58"/>
  <c r="K40" i="58"/>
  <c r="K39" i="58"/>
  <c r="K38" i="58"/>
  <c r="K37" i="58"/>
  <c r="K34" i="58"/>
  <c r="K33" i="58"/>
  <c r="K32" i="58"/>
  <c r="K31" i="58"/>
  <c r="K30" i="58"/>
  <c r="K29" i="58"/>
  <c r="K26" i="58"/>
  <c r="K25" i="58"/>
  <c r="K24" i="58"/>
  <c r="K23" i="58"/>
  <c r="K22" i="58"/>
  <c r="K21" i="58"/>
  <c r="K20" i="58"/>
  <c r="K19" i="58"/>
  <c r="K16" i="58"/>
  <c r="K15" i="58"/>
  <c r="K14" i="58"/>
  <c r="K13" i="58"/>
  <c r="K12" i="58"/>
  <c r="K11" i="58"/>
  <c r="K10" i="58"/>
  <c r="K9" i="58"/>
  <c r="K66" i="54"/>
  <c r="K65" i="54"/>
  <c r="K64" i="54"/>
  <c r="K63" i="54"/>
  <c r="K62" i="54"/>
  <c r="K59" i="54"/>
  <c r="K56" i="54"/>
  <c r="K55" i="54"/>
  <c r="K54" i="54"/>
  <c r="K53" i="54"/>
  <c r="K52" i="54"/>
  <c r="K51" i="54"/>
  <c r="K50" i="54"/>
  <c r="K49" i="54"/>
  <c r="K48" i="54"/>
  <c r="K47" i="54"/>
  <c r="K46" i="54"/>
  <c r="K45" i="54"/>
  <c r="K44" i="54"/>
  <c r="K43" i="54"/>
  <c r="K42" i="54"/>
  <c r="K41" i="54"/>
  <c r="K38" i="54"/>
  <c r="K37" i="54"/>
  <c r="K36" i="54"/>
  <c r="K35" i="54"/>
  <c r="K34" i="54"/>
  <c r="K33" i="54"/>
  <c r="K32" i="54"/>
  <c r="K31" i="54"/>
  <c r="K30" i="54"/>
  <c r="K29" i="54"/>
  <c r="K28" i="54"/>
  <c r="K27" i="54"/>
  <c r="K26" i="54"/>
  <c r="K25" i="54"/>
  <c r="K24" i="54"/>
  <c r="K23" i="54"/>
  <c r="K22" i="54"/>
  <c r="K21" i="54"/>
  <c r="K20" i="54"/>
  <c r="K17" i="54"/>
  <c r="K16" i="54"/>
  <c r="K15" i="54"/>
  <c r="K14" i="54"/>
  <c r="K13" i="54"/>
  <c r="K12" i="54"/>
  <c r="K11" i="54"/>
  <c r="K10" i="54"/>
  <c r="K9" i="54"/>
  <c r="K96" i="64"/>
  <c r="F58" i="54"/>
  <c r="E3" i="60" l="1"/>
  <c r="E3" i="59"/>
  <c r="K8" i="60"/>
  <c r="K48" i="59"/>
  <c r="K58" i="54"/>
  <c r="G16" i="65"/>
  <c r="F75" i="42"/>
  <c r="K14" i="60" l="1"/>
  <c r="K33" i="60"/>
  <c r="K49" i="60"/>
  <c r="K58" i="60"/>
  <c r="K52" i="59"/>
  <c r="K42" i="59"/>
  <c r="K56" i="58"/>
  <c r="K19" i="54"/>
  <c r="K61" i="54"/>
  <c r="K48" i="58"/>
  <c r="K28" i="58"/>
  <c r="K42" i="60"/>
  <c r="K8" i="59"/>
  <c r="K31" i="59"/>
  <c r="K18" i="58"/>
  <c r="K36" i="58"/>
  <c r="K8" i="58"/>
  <c r="K40" i="54"/>
  <c r="K8" i="54"/>
  <c r="N19" i="54"/>
  <c r="F19" i="54"/>
  <c r="F36" i="42"/>
  <c r="F28" i="2"/>
  <c r="I2" i="66"/>
  <c r="I5" i="2" l="1"/>
  <c r="G9" i="65"/>
  <c r="K95" i="64"/>
  <c r="K94" i="64"/>
  <c r="K93" i="64"/>
  <c r="K92" i="64"/>
  <c r="K91" i="64"/>
  <c r="K90" i="64"/>
  <c r="K89" i="64"/>
  <c r="K88" i="64"/>
  <c r="K87" i="64"/>
  <c r="K86" i="64"/>
  <c r="K85" i="64"/>
  <c r="K84" i="64"/>
  <c r="K83" i="64"/>
  <c r="K82" i="64"/>
  <c r="K81" i="64"/>
  <c r="K80" i="64"/>
  <c r="K79" i="64"/>
  <c r="K78" i="64"/>
  <c r="K77" i="64"/>
  <c r="K76" i="64"/>
  <c r="K75" i="64"/>
  <c r="K74" i="64"/>
  <c r="K73" i="64"/>
  <c r="K72" i="64"/>
  <c r="K71" i="64"/>
  <c r="K70" i="64"/>
  <c r="K69" i="64"/>
  <c r="K68" i="64"/>
  <c r="K67" i="64"/>
  <c r="K66" i="64"/>
  <c r="K65" i="64"/>
  <c r="K64" i="64"/>
  <c r="K63" i="64"/>
  <c r="K62" i="64"/>
  <c r="K61" i="64"/>
  <c r="K60" i="64"/>
  <c r="K59" i="64"/>
  <c r="K58" i="64"/>
  <c r="K57" i="64"/>
  <c r="K56" i="64"/>
  <c r="K55" i="64"/>
  <c r="K54" i="64"/>
  <c r="K53" i="64"/>
  <c r="K52" i="64"/>
  <c r="K51" i="64"/>
  <c r="K50" i="64"/>
  <c r="K49" i="64"/>
  <c r="K48" i="64"/>
  <c r="M9" i="65"/>
  <c r="I21" i="64"/>
  <c r="I16" i="64"/>
  <c r="I10" i="64"/>
  <c r="I5" i="64"/>
  <c r="V47" i="64"/>
  <c r="V44" i="64"/>
  <c r="V46" i="64"/>
  <c r="V43" i="64"/>
  <c r="F107" i="2" l="1"/>
  <c r="F79" i="2"/>
  <c r="F106" i="2"/>
  <c r="F105" i="2"/>
  <c r="F104" i="2"/>
  <c r="F103" i="2"/>
  <c r="F102" i="2"/>
  <c r="F100" i="2"/>
  <c r="F97" i="2"/>
  <c r="F101" i="2"/>
  <c r="F94" i="2"/>
  <c r="F93" i="2"/>
  <c r="F92" i="2"/>
  <c r="F96" i="2"/>
  <c r="F95" i="2"/>
  <c r="F107" i="42"/>
  <c r="F89" i="2"/>
  <c r="F88" i="2"/>
  <c r="F87" i="2"/>
  <c r="F86" i="2"/>
  <c r="F84" i="2"/>
  <c r="F83" i="2"/>
  <c r="F180" i="2"/>
  <c r="F179" i="2"/>
  <c r="F41" i="42"/>
  <c r="F139" i="2"/>
  <c r="F78" i="2"/>
  <c r="F99" i="2"/>
  <c r="F69" i="2"/>
  <c r="F68" i="2"/>
  <c r="F67" i="2"/>
  <c r="F65" i="2"/>
  <c r="F80" i="2"/>
  <c r="F98" i="2"/>
  <c r="F77" i="2"/>
  <c r="F76" i="2"/>
  <c r="F75" i="2"/>
  <c r="F74" i="2"/>
  <c r="F73" i="2"/>
  <c r="F72" i="2"/>
  <c r="F71" i="2"/>
  <c r="F70" i="2"/>
  <c r="F216" i="2" l="1"/>
  <c r="F215" i="2"/>
  <c r="F214" i="2"/>
  <c r="F213" i="2"/>
  <c r="F73" i="42"/>
  <c r="F72" i="42"/>
  <c r="F71" i="42"/>
  <c r="F70" i="42"/>
  <c r="F69" i="42"/>
  <c r="F68" i="42"/>
  <c r="F207" i="2"/>
  <c r="F24" i="43"/>
  <c r="F23" i="43"/>
  <c r="F87" i="42"/>
  <c r="F86" i="42"/>
  <c r="F94" i="42"/>
  <c r="F93" i="42"/>
  <c r="F92" i="42"/>
  <c r="F91" i="42"/>
  <c r="F89" i="42"/>
  <c r="F17" i="43"/>
  <c r="F16" i="43"/>
  <c r="F15" i="43"/>
  <c r="F62" i="42"/>
  <c r="F63" i="42"/>
  <c r="F61" i="42"/>
  <c r="F60" i="42"/>
  <c r="F59" i="42"/>
  <c r="F58" i="42"/>
  <c r="F57" i="42"/>
  <c r="F56" i="42"/>
  <c r="F55" i="42"/>
  <c r="F54" i="42"/>
  <c r="F194" i="2"/>
  <c r="F193" i="2"/>
  <c r="F192" i="2"/>
  <c r="F191" i="2"/>
  <c r="F49" i="42"/>
  <c r="F48" i="42"/>
  <c r="F47" i="42"/>
  <c r="F46" i="42"/>
  <c r="F45" i="42"/>
  <c r="F44" i="42"/>
  <c r="F43" i="42"/>
  <c r="F34" i="42"/>
  <c r="F33" i="42"/>
  <c r="F32" i="42"/>
  <c r="F31" i="42"/>
  <c r="F30" i="42"/>
  <c r="F29" i="42"/>
  <c r="F28" i="42"/>
  <c r="F26" i="42"/>
  <c r="F27" i="42"/>
  <c r="F25" i="42"/>
  <c r="F24" i="42"/>
  <c r="F23" i="42"/>
  <c r="F22" i="42"/>
  <c r="F53" i="42"/>
  <c r="F21" i="42"/>
  <c r="F20" i="42"/>
  <c r="F19" i="42"/>
  <c r="F16" i="42"/>
  <c r="F17" i="42"/>
  <c r="F15" i="42"/>
  <c r="F14" i="42"/>
  <c r="F13" i="42"/>
  <c r="F12" i="42"/>
  <c r="F40" i="42"/>
  <c r="F39" i="42"/>
  <c r="F38" i="42"/>
  <c r="F37" i="42"/>
  <c r="F11" i="42"/>
  <c r="F10" i="42"/>
  <c r="F9" i="42"/>
  <c r="F173" i="2" l="1"/>
  <c r="F169" i="2"/>
  <c r="F168" i="2"/>
  <c r="F167" i="2"/>
  <c r="F175" i="2"/>
  <c r="F149" i="2"/>
  <c r="F147" i="2"/>
  <c r="F146" i="2"/>
  <c r="F159" i="2"/>
  <c r="F158" i="2"/>
  <c r="F157" i="2"/>
  <c r="F155" i="2"/>
  <c r="F154" i="2"/>
  <c r="F153" i="2"/>
  <c r="F152" i="2"/>
  <c r="F151" i="2"/>
  <c r="F150" i="2"/>
  <c r="F56" i="2"/>
  <c r="F58" i="2"/>
  <c r="F36" i="2"/>
  <c r="F144" i="2"/>
  <c r="F143" i="2"/>
  <c r="F138" i="2"/>
  <c r="F137" i="2"/>
  <c r="F136" i="2"/>
  <c r="F135" i="2"/>
  <c r="F133" i="2"/>
  <c r="F132" i="2"/>
  <c r="F131" i="2"/>
  <c r="F130" i="2"/>
  <c r="F129" i="2"/>
  <c r="F128" i="2"/>
  <c r="F127" i="2"/>
  <c r="F126" i="2"/>
  <c r="F125" i="2"/>
  <c r="F124" i="2"/>
  <c r="F165" i="2"/>
  <c r="F123" i="2"/>
  <c r="F122" i="2"/>
  <c r="F120" i="2"/>
  <c r="F119" i="2"/>
  <c r="F118" i="2"/>
  <c r="F117" i="2"/>
  <c r="F116" i="2"/>
  <c r="F115" i="2"/>
  <c r="F114" i="2"/>
  <c r="F113" i="2"/>
  <c r="F112" i="2"/>
  <c r="D26" i="64" l="1"/>
  <c r="D25" i="64"/>
  <c r="D24" i="64"/>
  <c r="D23" i="64"/>
  <c r="D22" i="64"/>
  <c r="D21" i="64"/>
  <c r="D20" i="64"/>
  <c r="D19" i="64"/>
  <c r="D18" i="64"/>
  <c r="D17" i="64"/>
  <c r="D16" i="64"/>
  <c r="D15" i="64"/>
  <c r="D14" i="64"/>
  <c r="D13" i="64"/>
  <c r="D12" i="64"/>
  <c r="D11" i="64"/>
  <c r="D10" i="64"/>
  <c r="D9" i="64"/>
  <c r="D8" i="64"/>
  <c r="D7" i="64"/>
  <c r="D6" i="64"/>
  <c r="D5" i="64"/>
  <c r="F19" i="65"/>
  <c r="F12" i="65"/>
  <c r="G15" i="65"/>
  <c r="G14" i="65"/>
  <c r="G13" i="65"/>
  <c r="G12" i="65"/>
  <c r="G11" i="65"/>
  <c r="G10" i="65"/>
  <c r="D16" i="65"/>
  <c r="D15" i="65"/>
  <c r="D14" i="65"/>
  <c r="D13" i="65"/>
  <c r="D12" i="65"/>
  <c r="D11" i="65"/>
  <c r="D10" i="65"/>
  <c r="D9" i="65"/>
  <c r="D8" i="65"/>
  <c r="D7" i="65"/>
  <c r="D6" i="65"/>
  <c r="F11" i="65"/>
  <c r="B12" i="65"/>
  <c r="F16" i="65"/>
  <c r="F15" i="65"/>
  <c r="F14" i="65"/>
  <c r="F13" i="65"/>
  <c r="F10" i="65"/>
  <c r="F9" i="65"/>
  <c r="D5" i="65"/>
  <c r="B7" i="65"/>
  <c r="B8" i="65" s="1"/>
  <c r="B9" i="65" s="1"/>
  <c r="B10" i="65" s="1"/>
  <c r="B6" i="65"/>
  <c r="G36" i="64"/>
  <c r="G35" i="64"/>
  <c r="F35" i="64"/>
  <c r="G34" i="64"/>
  <c r="F34" i="64"/>
  <c r="G33" i="64"/>
  <c r="F33" i="64"/>
  <c r="F32" i="64"/>
  <c r="D26" i="63"/>
  <c r="D25" i="63"/>
  <c r="D24" i="63"/>
  <c r="D23" i="63"/>
  <c r="D22" i="63"/>
  <c r="D21" i="63"/>
  <c r="D20" i="63"/>
  <c r="D19" i="63"/>
  <c r="D18" i="63"/>
  <c r="D17" i="63"/>
  <c r="D16" i="63"/>
  <c r="D15" i="63"/>
  <c r="D14" i="63"/>
  <c r="D13" i="63"/>
  <c r="D12" i="63"/>
  <c r="D11" i="63"/>
  <c r="D10" i="63"/>
  <c r="D9" i="63"/>
  <c r="D8" i="63"/>
  <c r="D7" i="63"/>
  <c r="D6" i="63"/>
  <c r="D5" i="63"/>
  <c r="C21" i="64" l="1"/>
  <c r="H11" i="65"/>
  <c r="I11" i="65" s="1"/>
  <c r="B13" i="65"/>
  <c r="B14" i="65" s="1"/>
  <c r="B15" i="65" s="1"/>
  <c r="B16" i="65" s="1"/>
  <c r="H15" i="65"/>
  <c r="I15" i="65" s="1"/>
  <c r="H16" i="65"/>
  <c r="I16" i="65" s="1"/>
  <c r="H10" i="65"/>
  <c r="I10" i="65" s="1"/>
  <c r="H9" i="65"/>
  <c r="I9" i="65" s="1"/>
  <c r="H12" i="65"/>
  <c r="I12" i="65" s="1"/>
  <c r="H13" i="65"/>
  <c r="I13" i="65" s="1"/>
  <c r="H14" i="65"/>
  <c r="I14" i="65" s="1"/>
  <c r="F58" i="60"/>
  <c r="G26" i="63" l="1"/>
  <c r="F26" i="64"/>
  <c r="F49" i="60"/>
  <c r="F42" i="60"/>
  <c r="F33" i="60"/>
  <c r="F14" i="60"/>
  <c r="F8" i="60"/>
  <c r="N58" i="60"/>
  <c r="N49" i="60"/>
  <c r="N42" i="60"/>
  <c r="N33" i="60"/>
  <c r="N14" i="60"/>
  <c r="N8" i="60"/>
  <c r="F52" i="59"/>
  <c r="F48" i="59"/>
  <c r="F42" i="59"/>
  <c r="F31" i="59"/>
  <c r="N52" i="59"/>
  <c r="N48" i="59"/>
  <c r="N42" i="59"/>
  <c r="N31" i="59"/>
  <c r="N8" i="59"/>
  <c r="F8" i="59"/>
  <c r="F56" i="58"/>
  <c r="F48" i="58"/>
  <c r="F36" i="58"/>
  <c r="F28" i="58"/>
  <c r="F18" i="58"/>
  <c r="N56" i="58"/>
  <c r="N48" i="58"/>
  <c r="N36" i="58"/>
  <c r="N28" i="58"/>
  <c r="N18" i="58"/>
  <c r="N8" i="58"/>
  <c r="F8" i="58"/>
  <c r="E3" i="58"/>
  <c r="E3" i="54"/>
  <c r="N61" i="54"/>
  <c r="N58" i="54"/>
  <c r="N40" i="54"/>
  <c r="N8" i="54"/>
  <c r="F61" i="54"/>
  <c r="F40" i="54"/>
  <c r="F8" i="54"/>
  <c r="K3" i="59" l="1"/>
  <c r="K4" i="59" s="1"/>
  <c r="K3" i="60"/>
  <c r="K4" i="60" s="1"/>
  <c r="K3" i="54"/>
  <c r="K4" i="54" s="1"/>
  <c r="K3" i="58"/>
  <c r="K4" i="58" s="1"/>
  <c r="F22" i="64"/>
  <c r="F24" i="64"/>
  <c r="F16" i="64"/>
  <c r="F17" i="64"/>
  <c r="F19" i="64"/>
  <c r="F11" i="64"/>
  <c r="F14" i="64"/>
  <c r="C16" i="64"/>
  <c r="C10" i="64"/>
  <c r="O58" i="60"/>
  <c r="G23" i="63"/>
  <c r="F23" i="64"/>
  <c r="G21" i="63"/>
  <c r="F21" i="64"/>
  <c r="G25" i="63"/>
  <c r="F25" i="64"/>
  <c r="G20" i="63"/>
  <c r="F20" i="64"/>
  <c r="G18" i="63"/>
  <c r="F18" i="64"/>
  <c r="G13" i="63"/>
  <c r="F13" i="64"/>
  <c r="O56" i="58"/>
  <c r="G15" i="63"/>
  <c r="F15" i="64"/>
  <c r="G10" i="63"/>
  <c r="F10" i="64"/>
  <c r="G12" i="63"/>
  <c r="F12" i="64"/>
  <c r="G8" i="63"/>
  <c r="F8" i="64"/>
  <c r="G7" i="63"/>
  <c r="F7" i="64"/>
  <c r="G9" i="63"/>
  <c r="F9" i="64"/>
  <c r="G5" i="63"/>
  <c r="F5" i="64"/>
  <c r="G6" i="63"/>
  <c r="F6" i="64"/>
  <c r="O8" i="59"/>
  <c r="G16" i="63"/>
  <c r="O48" i="59"/>
  <c r="G19" i="63"/>
  <c r="O31" i="59"/>
  <c r="G17" i="63"/>
  <c r="O14" i="60"/>
  <c r="G22" i="63"/>
  <c r="O42" i="60"/>
  <c r="G24" i="63"/>
  <c r="O18" i="58"/>
  <c r="G11" i="63"/>
  <c r="O28" i="58"/>
  <c r="O48" i="58"/>
  <c r="G14" i="63"/>
  <c r="O36" i="58"/>
  <c r="O61" i="54"/>
  <c r="O8" i="54"/>
  <c r="O19" i="54"/>
  <c r="O58" i="54"/>
  <c r="O40" i="54"/>
  <c r="O52" i="59"/>
  <c r="O49" i="60"/>
  <c r="O8" i="58"/>
  <c r="O8" i="60"/>
  <c r="O42" i="59"/>
  <c r="O33" i="60"/>
  <c r="C56" i="60"/>
  <c r="C53" i="60"/>
  <c r="C54" i="60" s="1"/>
  <c r="C51" i="60"/>
  <c r="C46" i="60"/>
  <c r="C36" i="59"/>
  <c r="C54" i="58"/>
  <c r="C50" i="58"/>
  <c r="C52" i="58" s="1"/>
  <c r="C44" i="58"/>
  <c r="C46" i="58" s="1"/>
  <c r="C41" i="58"/>
  <c r="C43" i="58" s="1"/>
  <c r="C32" i="58"/>
  <c r="C34" i="58" s="1"/>
  <c r="C40" i="58"/>
  <c r="C38" i="58"/>
  <c r="C31" i="58"/>
  <c r="C26" i="58"/>
  <c r="C23" i="58"/>
  <c r="C20" i="58"/>
  <c r="L4" i="59" l="1"/>
  <c r="L4" i="54"/>
  <c r="L4" i="60"/>
  <c r="L4" i="58"/>
  <c r="F3" i="58"/>
  <c r="F4" i="58" s="1"/>
  <c r="F3" i="54"/>
  <c r="F3" i="59"/>
  <c r="F3" i="60"/>
  <c r="H54" i="54"/>
  <c r="H56" i="54" s="1"/>
  <c r="H42" i="54"/>
  <c r="C32" i="54"/>
  <c r="C5" i="64" l="1"/>
  <c r="H21" i="64"/>
  <c r="F4" i="60"/>
  <c r="H10" i="64"/>
  <c r="H16" i="64"/>
  <c r="H5" i="64"/>
  <c r="F4" i="54"/>
  <c r="I5" i="63"/>
  <c r="G6" i="65"/>
  <c r="G5" i="65"/>
  <c r="F5" i="65"/>
  <c r="F6" i="65"/>
  <c r="G8" i="65"/>
  <c r="F8" i="65"/>
  <c r="F7" i="65"/>
  <c r="G7" i="65"/>
  <c r="F4" i="59"/>
  <c r="I16" i="63"/>
  <c r="J16" i="63" s="1"/>
  <c r="I21" i="63"/>
  <c r="J21" i="63" s="1"/>
  <c r="I10" i="63"/>
  <c r="J10" i="63" s="1"/>
  <c r="A10" i="54"/>
  <c r="A11" i="54" s="1"/>
  <c r="A12" i="54" s="1"/>
  <c r="D97" i="53"/>
  <c r="D95" i="53"/>
  <c r="D94" i="53"/>
  <c r="D93" i="53"/>
  <c r="E93" i="53" s="1"/>
  <c r="D92" i="53"/>
  <c r="D91" i="53"/>
  <c r="D89" i="53"/>
  <c r="D88" i="53"/>
  <c r="D87" i="53"/>
  <c r="D86" i="53"/>
  <c r="D85" i="53"/>
  <c r="D84" i="53"/>
  <c r="D82" i="53"/>
  <c r="D81" i="53"/>
  <c r="D80" i="53"/>
  <c r="D79" i="53"/>
  <c r="D78" i="53"/>
  <c r="D77" i="53"/>
  <c r="D76" i="53"/>
  <c r="D74" i="53"/>
  <c r="D73" i="53"/>
  <c r="D72" i="53"/>
  <c r="D71" i="53"/>
  <c r="D70" i="53"/>
  <c r="D69" i="53"/>
  <c r="D68" i="53"/>
  <c r="D66" i="53"/>
  <c r="D65" i="53"/>
  <c r="D64" i="53"/>
  <c r="D63" i="53"/>
  <c r="D62" i="53"/>
  <c r="D61" i="53"/>
  <c r="D60" i="53"/>
  <c r="D59" i="53"/>
  <c r="D58" i="53"/>
  <c r="D57" i="53"/>
  <c r="D56" i="53"/>
  <c r="D55" i="53"/>
  <c r="D54" i="53"/>
  <c r="D103" i="53"/>
  <c r="D102" i="53"/>
  <c r="D101" i="53"/>
  <c r="E101" i="53" s="1"/>
  <c r="D100" i="53"/>
  <c r="D99" i="53"/>
  <c r="D52" i="53"/>
  <c r="D50" i="53"/>
  <c r="D49" i="53"/>
  <c r="D48" i="53"/>
  <c r="D47" i="53"/>
  <c r="D46" i="53"/>
  <c r="D45" i="53"/>
  <c r="D44" i="53"/>
  <c r="D43" i="53"/>
  <c r="D42" i="53"/>
  <c r="D40" i="53"/>
  <c r="D39" i="53"/>
  <c r="D38" i="53"/>
  <c r="D37" i="53"/>
  <c r="D36" i="53"/>
  <c r="D35" i="53"/>
  <c r="D34" i="53"/>
  <c r="D33" i="53"/>
  <c r="D32" i="53"/>
  <c r="D31" i="53"/>
  <c r="D30" i="53"/>
  <c r="D29" i="53"/>
  <c r="D28" i="53"/>
  <c r="D27" i="53"/>
  <c r="D26" i="53"/>
  <c r="D25" i="53"/>
  <c r="D24" i="53"/>
  <c r="D23" i="53"/>
  <c r="D22" i="53"/>
  <c r="D21" i="53"/>
  <c r="D19" i="53"/>
  <c r="D18" i="53"/>
  <c r="D17" i="53"/>
  <c r="D16" i="53"/>
  <c r="D15" i="53"/>
  <c r="D14" i="53"/>
  <c r="D13" i="53"/>
  <c r="D12" i="53"/>
  <c r="D11" i="53"/>
  <c r="D10" i="53"/>
  <c r="D9" i="53"/>
  <c r="D8" i="53"/>
  <c r="D7" i="53"/>
  <c r="D6" i="53"/>
  <c r="D5" i="53"/>
  <c r="D3" i="53"/>
  <c r="D4" i="53"/>
  <c r="C103" i="53"/>
  <c r="C102" i="53"/>
  <c r="C100" i="53"/>
  <c r="C99" i="53"/>
  <c r="C97" i="53"/>
  <c r="C95" i="53"/>
  <c r="C94" i="53"/>
  <c r="C92" i="53"/>
  <c r="C91" i="53"/>
  <c r="C89" i="53"/>
  <c r="C88" i="53"/>
  <c r="C87" i="53"/>
  <c r="C86" i="53"/>
  <c r="C85" i="53"/>
  <c r="C84" i="53"/>
  <c r="C82" i="53"/>
  <c r="E82" i="53" s="1"/>
  <c r="C81" i="53"/>
  <c r="C80" i="53"/>
  <c r="C79" i="53"/>
  <c r="C78" i="53"/>
  <c r="C77" i="53"/>
  <c r="C76" i="53"/>
  <c r="E76" i="53" s="1"/>
  <c r="C74" i="53"/>
  <c r="E74" i="53" s="1"/>
  <c r="C73" i="53"/>
  <c r="C72" i="53"/>
  <c r="E72" i="53" s="1"/>
  <c r="C71" i="53"/>
  <c r="E71" i="53" s="1"/>
  <c r="C70" i="53"/>
  <c r="E70" i="53" s="1"/>
  <c r="C69" i="53"/>
  <c r="E69" i="53" s="1"/>
  <c r="C68" i="53"/>
  <c r="C66" i="53"/>
  <c r="E66" i="53" s="1"/>
  <c r="C65" i="53"/>
  <c r="C64" i="53"/>
  <c r="E64" i="53" s="1"/>
  <c r="C63" i="53"/>
  <c r="C62" i="53"/>
  <c r="E62" i="53" s="1"/>
  <c r="C61" i="53"/>
  <c r="E61" i="53" s="1"/>
  <c r="C60" i="53"/>
  <c r="E60" i="53" s="1"/>
  <c r="C59" i="53"/>
  <c r="C58" i="53"/>
  <c r="C57" i="53"/>
  <c r="C56" i="53"/>
  <c r="C55" i="53"/>
  <c r="E55" i="53" s="1"/>
  <c r="C54" i="53"/>
  <c r="C52" i="53"/>
  <c r="C50" i="53"/>
  <c r="C49" i="53"/>
  <c r="C48" i="53"/>
  <c r="C47" i="53"/>
  <c r="C46" i="53"/>
  <c r="C45" i="53"/>
  <c r="C44" i="53"/>
  <c r="C43" i="53"/>
  <c r="C42" i="53"/>
  <c r="C40" i="53"/>
  <c r="C39" i="53"/>
  <c r="C38" i="53"/>
  <c r="C37" i="53"/>
  <c r="C36" i="53"/>
  <c r="C35" i="53"/>
  <c r="C34" i="53"/>
  <c r="C33" i="53"/>
  <c r="C32" i="53"/>
  <c r="C31" i="53"/>
  <c r="C30" i="53"/>
  <c r="C29" i="53"/>
  <c r="C28" i="53"/>
  <c r="C27" i="53"/>
  <c r="C26" i="53"/>
  <c r="C25" i="53"/>
  <c r="C24" i="53"/>
  <c r="C23" i="53"/>
  <c r="C22" i="53"/>
  <c r="C21" i="53"/>
  <c r="C19" i="53"/>
  <c r="C18" i="53"/>
  <c r="C17" i="53"/>
  <c r="C16" i="53"/>
  <c r="C15" i="53"/>
  <c r="C14" i="53"/>
  <c r="C13" i="53"/>
  <c r="C12" i="53"/>
  <c r="E12" i="53" s="1"/>
  <c r="C11" i="53"/>
  <c r="C10" i="53"/>
  <c r="C9" i="53"/>
  <c r="C8" i="53"/>
  <c r="C7" i="53"/>
  <c r="C6" i="53"/>
  <c r="C5" i="53"/>
  <c r="C4" i="53"/>
  <c r="E4" i="53" s="1"/>
  <c r="C3" i="53"/>
  <c r="M212" i="2"/>
  <c r="M19" i="43"/>
  <c r="M8" i="43"/>
  <c r="M115" i="42"/>
  <c r="M111" i="42"/>
  <c r="M108" i="42"/>
  <c r="M96" i="42"/>
  <c r="M67" i="42"/>
  <c r="M35" i="42"/>
  <c r="M8" i="42"/>
  <c r="M186" i="2"/>
  <c r="M111" i="2"/>
  <c r="M64" i="2"/>
  <c r="M8" i="2"/>
  <c r="E78" i="53" l="1"/>
  <c r="G4" i="59"/>
  <c r="G4" i="58"/>
  <c r="G4" i="54"/>
  <c r="E80" i="53"/>
  <c r="J6" i="64"/>
  <c r="B39" i="64" s="1"/>
  <c r="J5" i="63"/>
  <c r="H6" i="65"/>
  <c r="I6" i="65" s="1"/>
  <c r="E84" i="53"/>
  <c r="E97" i="53"/>
  <c r="E85" i="53"/>
  <c r="E79" i="53"/>
  <c r="E87" i="53"/>
  <c r="E88" i="53"/>
  <c r="E94" i="53"/>
  <c r="E100" i="53"/>
  <c r="E102" i="53"/>
  <c r="E99" i="53"/>
  <c r="E103" i="53"/>
  <c r="E92" i="53"/>
  <c r="E95" i="53"/>
  <c r="E68" i="53"/>
  <c r="E77" i="53"/>
  <c r="E86" i="53"/>
  <c r="E54" i="53"/>
  <c r="E63" i="53"/>
  <c r="E57" i="53"/>
  <c r="E65" i="53"/>
  <c r="E58" i="53"/>
  <c r="E59" i="53"/>
  <c r="E89" i="53"/>
  <c r="E81" i="53"/>
  <c r="E91" i="53"/>
  <c r="E56" i="53"/>
  <c r="E73" i="53"/>
  <c r="E52" i="53"/>
  <c r="E28" i="53"/>
  <c r="E36" i="53"/>
  <c r="E45" i="53"/>
  <c r="E21" i="53"/>
  <c r="E29" i="53"/>
  <c r="E37" i="53"/>
  <c r="E46" i="53"/>
  <c r="E22" i="53"/>
  <c r="E30" i="53"/>
  <c r="E38" i="53"/>
  <c r="E47" i="53"/>
  <c r="E23" i="53"/>
  <c r="E31" i="53"/>
  <c r="E39" i="53"/>
  <c r="E48" i="53"/>
  <c r="E24" i="53"/>
  <c r="E32" i="53"/>
  <c r="E40" i="53"/>
  <c r="E49" i="53"/>
  <c r="E25" i="53"/>
  <c r="E33" i="53"/>
  <c r="E42" i="53"/>
  <c r="E50" i="53"/>
  <c r="E26" i="53"/>
  <c r="E34" i="53"/>
  <c r="E43" i="53"/>
  <c r="E27" i="53"/>
  <c r="E35" i="53"/>
  <c r="E44" i="53"/>
  <c r="H8" i="65"/>
  <c r="I8" i="65" s="1"/>
  <c r="F18" i="65"/>
  <c r="H7" i="65"/>
  <c r="I7" i="65" s="1"/>
  <c r="H5" i="65"/>
  <c r="G18" i="65"/>
  <c r="G4" i="60"/>
  <c r="A13" i="54"/>
  <c r="A14" i="54" s="1"/>
  <c r="A15" i="54" s="1"/>
  <c r="A16" i="54" s="1"/>
  <c r="A17" i="54" s="1"/>
  <c r="A20" i="54" s="1"/>
  <c r="A21" i="54" s="1"/>
  <c r="A22" i="54" s="1"/>
  <c r="A23" i="54" s="1"/>
  <c r="A24" i="54" s="1"/>
  <c r="A25" i="54" s="1"/>
  <c r="A26" i="54" s="1"/>
  <c r="A27" i="54" s="1"/>
  <c r="A28" i="54" s="1"/>
  <c r="A29" i="54" s="1"/>
  <c r="A30" i="54" s="1"/>
  <c r="A31" i="54" s="1"/>
  <c r="A32" i="54" s="1"/>
  <c r="A33" i="54" s="1"/>
  <c r="A34" i="54" s="1"/>
  <c r="A35" i="54" s="1"/>
  <c r="A36" i="54" s="1"/>
  <c r="A37" i="54" s="1"/>
  <c r="A38" i="54" s="1"/>
  <c r="A41" i="54" s="1"/>
  <c r="A42" i="54" s="1"/>
  <c r="A43" i="54" s="1"/>
  <c r="A44" i="54" s="1"/>
  <c r="A45" i="54" s="1"/>
  <c r="A46" i="54" s="1"/>
  <c r="A47" i="54" s="1"/>
  <c r="A48" i="54" s="1"/>
  <c r="A49" i="54" s="1"/>
  <c r="E3" i="53"/>
  <c r="E5" i="53"/>
  <c r="E13" i="53"/>
  <c r="E6" i="53"/>
  <c r="E14" i="53"/>
  <c r="E7" i="53"/>
  <c r="E15" i="53"/>
  <c r="E8" i="53"/>
  <c r="E16" i="53"/>
  <c r="E9" i="53"/>
  <c r="E17" i="53"/>
  <c r="E10" i="53"/>
  <c r="E18" i="53"/>
  <c r="E11" i="53"/>
  <c r="E19" i="53"/>
  <c r="G10" i="48"/>
  <c r="G11" i="48"/>
  <c r="G12" i="48"/>
  <c r="G13" i="48"/>
  <c r="G14" i="48"/>
  <c r="K19" i="43"/>
  <c r="F19" i="43"/>
  <c r="K8" i="43"/>
  <c r="F8" i="43"/>
  <c r="K115" i="42"/>
  <c r="F115" i="42"/>
  <c r="K111" i="42"/>
  <c r="F111" i="42"/>
  <c r="K108" i="42"/>
  <c r="F108" i="42"/>
  <c r="K96" i="42"/>
  <c r="F96" i="42"/>
  <c r="K67" i="42"/>
  <c r="F67" i="42"/>
  <c r="K35" i="42"/>
  <c r="F35" i="42"/>
  <c r="K8" i="42"/>
  <c r="F8" i="42"/>
  <c r="K212" i="2"/>
  <c r="K186" i="2"/>
  <c r="K111" i="2"/>
  <c r="K64" i="2"/>
  <c r="K8" i="2"/>
  <c r="F212" i="2"/>
  <c r="F186" i="2"/>
  <c r="F111" i="2"/>
  <c r="F64" i="2"/>
  <c r="F8" i="2"/>
  <c r="F4" i="42" l="1"/>
  <c r="M6" i="65"/>
  <c r="L13" i="65" s="1"/>
  <c r="D39" i="64"/>
  <c r="I5" i="65"/>
  <c r="G19" i="65"/>
  <c r="A50" i="54"/>
  <c r="A51" i="54" s="1"/>
  <c r="A52" i="54" s="1"/>
  <c r="A53" i="54" s="1"/>
  <c r="A54" i="54" s="1"/>
  <c r="A55" i="54" s="1"/>
  <c r="A56" i="54" s="1"/>
  <c r="A59" i="54" s="1"/>
  <c r="A62" i="54" s="1"/>
  <c r="A63" i="54" s="1"/>
  <c r="A64" i="54" s="1"/>
  <c r="A65" i="54" s="1"/>
  <c r="A66" i="54" s="1"/>
  <c r="A9" i="58" s="1"/>
  <c r="A10" i="58" s="1"/>
  <c r="A11" i="58" s="1"/>
  <c r="A12" i="58" s="1"/>
  <c r="A13" i="58" s="1"/>
  <c r="A14" i="58" s="1"/>
  <c r="A15" i="58" s="1"/>
  <c r="A16" i="58" s="1"/>
  <c r="A19" i="58" s="1"/>
  <c r="A20" i="58" s="1"/>
  <c r="A21" i="58" s="1"/>
  <c r="A22" i="58" s="1"/>
  <c r="A23" i="58" s="1"/>
  <c r="A24" i="58" s="1"/>
  <c r="A25" i="58" s="1"/>
  <c r="A26" i="58" s="1"/>
  <c r="A29" i="58" s="1"/>
  <c r="A30" i="58" s="1"/>
  <c r="A31" i="58" s="1"/>
  <c r="A32" i="58" s="1"/>
  <c r="A33" i="58" s="1"/>
  <c r="A34" i="58" s="1"/>
  <c r="A37" i="58" s="1"/>
  <c r="A38" i="58" s="1"/>
  <c r="A39" i="58" s="1"/>
  <c r="A40" i="58" s="1"/>
  <c r="A41" i="58" s="1"/>
  <c r="A42" i="58" s="1"/>
  <c r="A43" i="58" s="1"/>
  <c r="A44" i="58" s="1"/>
  <c r="A45" i="58" s="1"/>
  <c r="A46" i="58" s="1"/>
  <c r="A49" i="58" s="1"/>
  <c r="A50" i="58" s="1"/>
  <c r="A51" i="58" s="1"/>
  <c r="A52" i="58" s="1"/>
  <c r="A53" i="58" s="1"/>
  <c r="A54" i="58" s="1"/>
  <c r="A57" i="58" s="1"/>
  <c r="A58" i="58" s="1"/>
  <c r="A59" i="58" s="1"/>
  <c r="A60" i="58" s="1"/>
  <c r="A9" i="59" s="1"/>
  <c r="A10" i="59" s="1"/>
  <c r="A11" i="59" s="1"/>
  <c r="A12" i="59" s="1"/>
  <c r="A13" i="59" s="1"/>
  <c r="A14" i="59" s="1"/>
  <c r="A15" i="59" s="1"/>
  <c r="A16" i="59" s="1"/>
  <c r="A17" i="59" s="1"/>
  <c r="A18" i="59" s="1"/>
  <c r="A19" i="59" s="1"/>
  <c r="A20" i="59" s="1"/>
  <c r="A21" i="59" s="1"/>
  <c r="A22" i="59" s="1"/>
  <c r="A23" i="59" s="1"/>
  <c r="A24" i="59" s="1"/>
  <c r="A25" i="59" s="1"/>
  <c r="A26" i="59" s="1"/>
  <c r="A27" i="59" s="1"/>
  <c r="A28" i="59" s="1"/>
  <c r="A29" i="59" s="1"/>
  <c r="A32" i="59" s="1"/>
  <c r="A33" i="59" s="1"/>
  <c r="A34" i="59" s="1"/>
  <c r="A35" i="59" s="1"/>
  <c r="A36" i="59" s="1"/>
  <c r="A37" i="59" s="1"/>
  <c r="A38" i="59" s="1"/>
  <c r="A39" i="59" s="1"/>
  <c r="A40" i="59" s="1"/>
  <c r="A43" i="59" s="1"/>
  <c r="A44" i="59" s="1"/>
  <c r="A45" i="59" s="1"/>
  <c r="A46" i="59" s="1"/>
  <c r="A49" i="59" s="1"/>
  <c r="A50" i="59" s="1"/>
  <c r="A53" i="59" s="1"/>
  <c r="A54" i="59" s="1"/>
  <c r="A55" i="59" s="1"/>
  <c r="A56" i="59" s="1"/>
  <c r="A57" i="59" s="1"/>
  <c r="G8" i="50"/>
  <c r="G9" i="50"/>
  <c r="D41" i="64" l="1"/>
  <c r="M7" i="65"/>
  <c r="B41" i="64"/>
  <c r="B42" i="64" s="1"/>
  <c r="M13" i="65" s="1"/>
  <c r="M10" i="65"/>
  <c r="P6" i="65" s="1"/>
  <c r="J7" i="64"/>
  <c r="H19" i="65"/>
  <c r="A58" i="59"/>
  <c r="A59" i="59" s="1"/>
  <c r="A60" i="59" s="1"/>
  <c r="A61" i="59" s="1"/>
  <c r="A62" i="59" s="1"/>
  <c r="A63" i="59" s="1"/>
  <c r="A9" i="60" s="1"/>
  <c r="A10" i="60" s="1"/>
  <c r="A11" i="60" s="1"/>
  <c r="A12" i="60" s="1"/>
  <c r="A15" i="60" s="1"/>
  <c r="A16" i="60" s="1"/>
  <c r="A17" i="60" s="1"/>
  <c r="A18" i="60" s="1"/>
  <c r="A19" i="60" s="1"/>
  <c r="A20" i="60" s="1"/>
  <c r="A21" i="60" s="1"/>
  <c r="A22" i="60" s="1"/>
  <c r="A23" i="60" s="1"/>
  <c r="A24" i="60" s="1"/>
  <c r="A25" i="60" s="1"/>
  <c r="A26" i="60" s="1"/>
  <c r="A27" i="60" s="1"/>
  <c r="A28" i="60" s="1"/>
  <c r="A29" i="60" s="1"/>
  <c r="A30" i="60" s="1"/>
  <c r="A31" i="60" s="1"/>
  <c r="A34" i="60" s="1"/>
  <c r="A35" i="60" s="1"/>
  <c r="A36" i="60" s="1"/>
  <c r="A37" i="60" s="1"/>
  <c r="A38" i="60" s="1"/>
  <c r="A39" i="60" s="1"/>
  <c r="A40" i="60" s="1"/>
  <c r="A43" i="60" s="1"/>
  <c r="A44" i="60" s="1"/>
  <c r="A45" i="60" s="1"/>
  <c r="A46" i="60" s="1"/>
  <c r="A47" i="60" s="1"/>
  <c r="A50" i="60" s="1"/>
  <c r="A51" i="60" s="1"/>
  <c r="A52" i="60" s="1"/>
  <c r="A53" i="60" s="1"/>
  <c r="A54" i="60" s="1"/>
  <c r="A55" i="60" s="1"/>
  <c r="A56" i="60" s="1"/>
  <c r="A59" i="60" s="1"/>
  <c r="A60" i="60" s="1"/>
  <c r="A61" i="60" s="1"/>
  <c r="A62" i="60" s="1"/>
  <c r="A63" i="60" s="1"/>
  <c r="A64" i="60" s="1"/>
  <c r="A65" i="60" s="1"/>
  <c r="A66" i="60" s="1"/>
  <c r="AB3" i="2"/>
  <c r="G34" i="50"/>
  <c r="F34" i="50"/>
  <c r="G26" i="50"/>
  <c r="F26" i="50"/>
  <c r="D43" i="64" l="1"/>
  <c r="B43" i="64"/>
  <c r="AB8" i="2"/>
  <c r="AB212" i="2"/>
  <c r="AB186" i="2"/>
  <c r="AB111" i="2"/>
  <c r="AB64" i="2"/>
  <c r="H34" i="50"/>
  <c r="H26" i="50"/>
  <c r="M2" i="42"/>
  <c r="G19" i="52" l="1"/>
  <c r="F19" i="52"/>
  <c r="G18" i="52"/>
  <c r="F18" i="52"/>
  <c r="G17" i="52"/>
  <c r="G16" i="52"/>
  <c r="G15" i="52"/>
  <c r="G14" i="52"/>
  <c r="G13" i="52"/>
  <c r="G12" i="52"/>
  <c r="G11" i="52"/>
  <c r="G10" i="52"/>
  <c r="G9" i="52"/>
  <c r="G8" i="52"/>
  <c r="G7" i="52"/>
  <c r="G6" i="52"/>
  <c r="G5" i="52"/>
  <c r="F17" i="52"/>
  <c r="F16" i="52"/>
  <c r="F15" i="52"/>
  <c r="F14" i="52"/>
  <c r="F13" i="52"/>
  <c r="F12" i="52"/>
  <c r="F11" i="52"/>
  <c r="F10" i="52"/>
  <c r="F9" i="52"/>
  <c r="F8" i="52"/>
  <c r="F7" i="52"/>
  <c r="F6" i="52"/>
  <c r="F5" i="52"/>
  <c r="Y8" i="52" l="1"/>
  <c r="X9" i="52"/>
  <c r="Y9" i="52"/>
  <c r="X8" i="52"/>
  <c r="H5" i="52"/>
  <c r="H17" i="52"/>
  <c r="H10" i="52"/>
  <c r="H9" i="52"/>
  <c r="H18" i="52"/>
  <c r="H8" i="52"/>
  <c r="H11" i="52"/>
  <c r="H12" i="52"/>
  <c r="H6" i="52"/>
  <c r="H7" i="52"/>
  <c r="H16" i="52"/>
  <c r="H15" i="52"/>
  <c r="F21" i="52"/>
  <c r="H13" i="52"/>
  <c r="H19" i="52"/>
  <c r="G21" i="52"/>
  <c r="H14" i="52"/>
  <c r="X10" i="52" l="1"/>
  <c r="W9" i="52"/>
  <c r="Y10" i="52"/>
  <c r="H21" i="52"/>
  <c r="W8" i="52"/>
  <c r="W10" i="52" l="1"/>
  <c r="F33" i="50"/>
  <c r="X7" i="50" s="1"/>
  <c r="G33" i="50"/>
  <c r="Y7" i="50" s="1"/>
  <c r="G32" i="50"/>
  <c r="F32" i="50"/>
  <c r="G31" i="50"/>
  <c r="F31" i="50"/>
  <c r="G30" i="50"/>
  <c r="F30" i="50"/>
  <c r="G29" i="50"/>
  <c r="F29" i="50"/>
  <c r="G28" i="50"/>
  <c r="F28" i="50"/>
  <c r="G27" i="50"/>
  <c r="F27" i="50"/>
  <c r="G25" i="50"/>
  <c r="F25" i="50"/>
  <c r="G24" i="50"/>
  <c r="F24" i="50"/>
  <c r="G23" i="50"/>
  <c r="G22" i="50"/>
  <c r="G21" i="50"/>
  <c r="G20" i="50"/>
  <c r="G19" i="50"/>
  <c r="G18" i="50"/>
  <c r="G17" i="50"/>
  <c r="G16" i="50"/>
  <c r="G15" i="50"/>
  <c r="G14" i="50"/>
  <c r="G13" i="50"/>
  <c r="G12" i="50"/>
  <c r="G11" i="50"/>
  <c r="G10" i="50"/>
  <c r="G7" i="50"/>
  <c r="G6" i="50"/>
  <c r="G5" i="50"/>
  <c r="F23" i="50"/>
  <c r="F22" i="50"/>
  <c r="F21" i="50"/>
  <c r="F20" i="50"/>
  <c r="F19" i="50"/>
  <c r="F18" i="50"/>
  <c r="F17" i="50"/>
  <c r="F16" i="50"/>
  <c r="F15" i="50"/>
  <c r="F14" i="50"/>
  <c r="F13" i="50"/>
  <c r="F12" i="50"/>
  <c r="F11" i="50"/>
  <c r="F10" i="50"/>
  <c r="F9" i="50"/>
  <c r="F8" i="50"/>
  <c r="F7" i="50"/>
  <c r="F6" i="50"/>
  <c r="F5" i="50"/>
  <c r="B6" i="48"/>
  <c r="B7" i="48" s="1"/>
  <c r="B8" i="48" s="1"/>
  <c r="B9" i="48" s="1"/>
  <c r="B10" i="48" s="1"/>
  <c r="B11" i="48" s="1"/>
  <c r="B12" i="48" s="1"/>
  <c r="B13" i="48" s="1"/>
  <c r="B14" i="48" s="1"/>
  <c r="B15" i="48" s="1"/>
  <c r="B16" i="48" s="1"/>
  <c r="B17" i="48" s="1"/>
  <c r="B18" i="48" s="1"/>
  <c r="B19" i="48" s="1"/>
  <c r="F36" i="50" l="1"/>
  <c r="G36" i="50"/>
  <c r="W7" i="50"/>
  <c r="H25" i="50"/>
  <c r="X8" i="50"/>
  <c r="H29" i="50"/>
  <c r="H18" i="50"/>
  <c r="H19" i="50"/>
  <c r="H10" i="50"/>
  <c r="H11" i="50"/>
  <c r="X9" i="50"/>
  <c r="H12" i="50"/>
  <c r="H20" i="50"/>
  <c r="H13" i="50"/>
  <c r="H21" i="50"/>
  <c r="H6" i="50"/>
  <c r="H14" i="50"/>
  <c r="H22" i="50"/>
  <c r="H7" i="50"/>
  <c r="H15" i="50"/>
  <c r="H23" i="50"/>
  <c r="H8" i="50"/>
  <c r="H16" i="50"/>
  <c r="H9" i="50"/>
  <c r="H17" i="50"/>
  <c r="Y9" i="50"/>
  <c r="H24" i="50"/>
  <c r="Y8" i="50"/>
  <c r="H27" i="50"/>
  <c r="H31" i="50"/>
  <c r="H28" i="50"/>
  <c r="H32" i="50"/>
  <c r="H30" i="50"/>
  <c r="H33" i="50"/>
  <c r="H5" i="50"/>
  <c r="F127" i="45"/>
  <c r="F126" i="45"/>
  <c r="F125" i="45"/>
  <c r="F124" i="45"/>
  <c r="G128" i="45"/>
  <c r="G127" i="45"/>
  <c r="G126" i="45"/>
  <c r="G125" i="45"/>
  <c r="I4" i="45"/>
  <c r="H4" i="45"/>
  <c r="G4" i="45"/>
  <c r="F4" i="45"/>
  <c r="D116" i="45"/>
  <c r="D115" i="45"/>
  <c r="D114" i="45"/>
  <c r="I113" i="45"/>
  <c r="H113" i="45"/>
  <c r="G113" i="45"/>
  <c r="F113" i="45"/>
  <c r="B116" i="45"/>
  <c r="B115" i="45"/>
  <c r="B114" i="45"/>
  <c r="G108" i="45"/>
  <c r="G105" i="45"/>
  <c r="M2" i="43"/>
  <c r="I95" i="45"/>
  <c r="D14" i="47" s="1"/>
  <c r="G101" i="45"/>
  <c r="G98" i="45"/>
  <c r="G95" i="45"/>
  <c r="G88" i="45"/>
  <c r="G80" i="45"/>
  <c r="G72" i="45"/>
  <c r="G58" i="45"/>
  <c r="F101" i="45"/>
  <c r="F98" i="45"/>
  <c r="F95" i="45"/>
  <c r="F88" i="45"/>
  <c r="F80" i="45"/>
  <c r="F72" i="45"/>
  <c r="M2" i="2"/>
  <c r="F108" i="45" l="1"/>
  <c r="F58" i="45"/>
  <c r="X10" i="50"/>
  <c r="W8" i="50"/>
  <c r="Y10" i="50"/>
  <c r="W9" i="50"/>
  <c r="H36" i="50"/>
  <c r="AB3" i="43"/>
  <c r="H72" i="45"/>
  <c r="H88" i="45"/>
  <c r="H98" i="45"/>
  <c r="AB3" i="42"/>
  <c r="I88" i="45"/>
  <c r="D13" i="47" s="1"/>
  <c r="H101" i="45"/>
  <c r="H80" i="45"/>
  <c r="I101" i="45"/>
  <c r="D16" i="47" s="1"/>
  <c r="F116" i="45"/>
  <c r="F105" i="45"/>
  <c r="M4" i="43"/>
  <c r="G104" i="45" s="1"/>
  <c r="G116" i="45" s="1"/>
  <c r="H95" i="45"/>
  <c r="I72" i="45"/>
  <c r="D11" i="47" s="1"/>
  <c r="I98" i="45"/>
  <c r="D15" i="47" s="1"/>
  <c r="H18" i="45"/>
  <c r="H44" i="45"/>
  <c r="I80" i="45"/>
  <c r="D12" i="47" s="1"/>
  <c r="H23" i="45"/>
  <c r="H6" i="45"/>
  <c r="M4" i="42"/>
  <c r="G57" i="45" s="1"/>
  <c r="G115" i="45" s="1"/>
  <c r="F115" i="45"/>
  <c r="H54" i="45"/>
  <c r="I18" i="45"/>
  <c r="D6" i="47" s="1"/>
  <c r="I23" i="45"/>
  <c r="D7" i="47" s="1"/>
  <c r="I44" i="45"/>
  <c r="D8" i="47" s="1"/>
  <c r="AB19" i="43" l="1"/>
  <c r="AB8" i="43"/>
  <c r="AB8" i="42"/>
  <c r="AB111" i="42"/>
  <c r="AB108" i="42"/>
  <c r="AB96" i="42"/>
  <c r="AB67" i="42"/>
  <c r="AB35" i="42"/>
  <c r="AB115" i="42"/>
  <c r="W10" i="50"/>
  <c r="K4" i="2"/>
  <c r="H5" i="45" s="1"/>
  <c r="K3" i="2"/>
  <c r="M7" i="45"/>
  <c r="M17" i="45"/>
  <c r="M16" i="45"/>
  <c r="M15" i="45"/>
  <c r="M14" i="45"/>
  <c r="M13" i="45"/>
  <c r="M12" i="45"/>
  <c r="M11" i="45"/>
  <c r="M10" i="45"/>
  <c r="M9" i="45"/>
  <c r="M8" i="45"/>
  <c r="M3" i="42" l="1"/>
  <c r="M3" i="43"/>
  <c r="H114" i="45"/>
  <c r="I6" i="45" l="1"/>
  <c r="D5" i="47" s="1"/>
  <c r="G54" i="45"/>
  <c r="G44" i="45"/>
  <c r="G23" i="45"/>
  <c r="G18" i="45"/>
  <c r="F54" i="45"/>
  <c r="F44" i="45"/>
  <c r="F23" i="45"/>
  <c r="F18" i="45"/>
  <c r="G6" i="45" l="1"/>
  <c r="M3" i="2"/>
  <c r="F6" i="45"/>
  <c r="M4" i="2"/>
  <c r="G5" i="45" s="1"/>
  <c r="G3" i="45" s="1"/>
  <c r="A10" i="2"/>
  <c r="A11" i="2" s="1"/>
  <c r="A12" i="2" s="1"/>
  <c r="A13" i="2" s="1"/>
  <c r="A14" i="2" l="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F114" i="45"/>
  <c r="F118" i="45"/>
  <c r="G114" i="45"/>
  <c r="G118" i="45"/>
  <c r="A45" i="2" l="1"/>
  <c r="A46" i="2" s="1"/>
  <c r="A47" i="2" s="1"/>
  <c r="A48" i="2" s="1"/>
  <c r="A49" i="2" s="1"/>
  <c r="A50" i="2" s="1"/>
  <c r="A51" i="2" s="1"/>
  <c r="A52" i="2" s="1"/>
  <c r="A53" i="2" s="1"/>
  <c r="A54" i="2" s="1"/>
  <c r="A55" i="2" s="1"/>
  <c r="A56" i="2" s="1"/>
  <c r="A57" i="2" s="1"/>
  <c r="A58" i="2" s="1"/>
  <c r="A59" i="2" s="1"/>
  <c r="A60" i="2" s="1"/>
  <c r="A61" i="2" s="1"/>
  <c r="A62" i="2" s="1"/>
  <c r="A63"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G8" i="39"/>
  <c r="G7" i="39"/>
  <c r="G6" i="39"/>
  <c r="G9" i="39" l="1"/>
  <c r="H9" i="39" s="1"/>
  <c r="H8" i="39" l="1"/>
  <c r="H7" i="39"/>
  <c r="H6" i="39"/>
  <c r="A112" i="2" l="1"/>
  <c r="A113" i="2" l="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l="1"/>
  <c r="A149" i="2" s="1"/>
  <c r="A150" i="2" s="1"/>
  <c r="A151" i="2" s="1"/>
  <c r="A152" i="2" s="1"/>
  <c r="A153" i="2" s="1"/>
  <c r="A154" i="2" s="1"/>
  <c r="A155" i="2" s="1"/>
  <c r="A156" i="2" s="1"/>
  <c r="A157" i="2" s="1"/>
  <c r="A158" i="2" s="1"/>
  <c r="A159" i="2" s="1"/>
  <c r="A160" i="2" s="1"/>
  <c r="A161" i="2" s="1"/>
  <c r="A162" i="2" s="1"/>
  <c r="A163" i="2" s="1"/>
  <c r="A164" i="2" s="1"/>
  <c r="A165" i="2" s="1"/>
  <c r="A166" i="2" l="1"/>
  <c r="A167" i="2" s="1"/>
  <c r="A168" i="2" s="1"/>
  <c r="A169" i="2" s="1"/>
  <c r="A170" i="2" s="1"/>
  <c r="A171" i="2" s="1"/>
  <c r="A172" i="2" s="1"/>
  <c r="A173" i="2" s="1"/>
  <c r="A174" i="2" s="1"/>
  <c r="A175" i="2" s="1"/>
  <c r="A176" i="2" s="1"/>
  <c r="A177" i="2" s="1"/>
  <c r="A178" i="2" l="1"/>
  <c r="A179" i="2" s="1"/>
  <c r="A180" i="2" s="1"/>
  <c r="A181" i="2" s="1"/>
  <c r="A182" i="2" s="1"/>
  <c r="A183" i="2" s="1"/>
  <c r="A184" i="2" s="1"/>
  <c r="A185" i="2" s="1"/>
  <c r="A187" i="2" l="1"/>
  <c r="A188" i="2" s="1"/>
  <c r="A189" i="2" l="1"/>
  <c r="A190" i="2" l="1"/>
  <c r="A191" i="2" l="1"/>
  <c r="A192" i="2" s="1"/>
  <c r="A193" i="2" s="1"/>
  <c r="A194" i="2" s="1"/>
  <c r="A195" i="2" s="1"/>
  <c r="A196" i="2" s="1"/>
  <c r="I58" i="45"/>
  <c r="D10" i="47" s="1"/>
  <c r="H58" i="45"/>
  <c r="A197" i="2" l="1"/>
  <c r="A198" i="2" s="1"/>
  <c r="A199" i="2" s="1"/>
  <c r="A200" i="2" s="1"/>
  <c r="A201" i="2" s="1"/>
  <c r="A202" i="2" s="1"/>
  <c r="A203" i="2" s="1"/>
  <c r="A204" i="2" s="1"/>
  <c r="A205" i="2" s="1"/>
  <c r="A206" i="2" s="1"/>
  <c r="A207" i="2" s="1"/>
  <c r="A208" i="2" s="1"/>
  <c r="A209" i="2" s="1"/>
  <c r="A210" i="2" s="1"/>
  <c r="A211" i="2" s="1"/>
  <c r="A213" i="2" s="1"/>
  <c r="A214" i="2" s="1"/>
  <c r="A215" i="2" s="1"/>
  <c r="A216" i="2" s="1"/>
  <c r="A217" i="2" s="1"/>
  <c r="K4" i="42"/>
  <c r="H57" i="45" s="1"/>
  <c r="K3" i="42"/>
  <c r="F3" i="42"/>
  <c r="A9" i="42" l="1"/>
  <c r="A10" i="42" s="1"/>
  <c r="A11" i="42" s="1"/>
  <c r="A12" i="42" s="1"/>
  <c r="A13" i="42" s="1"/>
  <c r="A14" i="42" s="1"/>
  <c r="A15" i="42" s="1"/>
  <c r="A16" i="42" s="1"/>
  <c r="A17" i="42" s="1"/>
  <c r="A18" i="42" s="1"/>
  <c r="A19" i="42" s="1"/>
  <c r="A20" i="42" s="1"/>
  <c r="A21" i="42" s="1"/>
  <c r="A22" i="42" s="1"/>
  <c r="A23" i="42" s="1"/>
  <c r="A24" i="42" s="1"/>
  <c r="A25" i="42" s="1"/>
  <c r="A26" i="42" s="1"/>
  <c r="A27" i="42" s="1"/>
  <c r="A28" i="42" s="1"/>
  <c r="A29" i="42" s="1"/>
  <c r="A30" i="42" s="1"/>
  <c r="A31" i="42" s="1"/>
  <c r="A32" i="42" s="1"/>
  <c r="A33" i="42" s="1"/>
  <c r="A34" i="42" s="1"/>
  <c r="I57" i="45"/>
  <c r="F10" i="47" s="1"/>
  <c r="H115" i="45"/>
  <c r="A36" i="42" l="1"/>
  <c r="A37" i="42" s="1"/>
  <c r="A38" i="42" s="1"/>
  <c r="A39" i="42" s="1"/>
  <c r="A40" i="42" s="1"/>
  <c r="A41" i="42" s="1"/>
  <c r="A42" i="42" s="1"/>
  <c r="A43" i="42" s="1"/>
  <c r="A44" i="42" s="1"/>
  <c r="A45" i="42" s="1"/>
  <c r="A46" i="42" s="1"/>
  <c r="A47" i="42" s="1"/>
  <c r="A48" i="42" s="1"/>
  <c r="A49" i="42" s="1"/>
  <c r="A50" i="42" s="1"/>
  <c r="A51" i="42" s="1"/>
  <c r="A52" i="42" s="1"/>
  <c r="A53" i="42" s="1"/>
  <c r="A54" i="42" s="1"/>
  <c r="A55" i="42" s="1"/>
  <c r="A56" i="42" s="1"/>
  <c r="I115" i="45"/>
  <c r="H108" i="45"/>
  <c r="A57" i="42" l="1"/>
  <c r="A58" i="42" s="1"/>
  <c r="A59" i="42" s="1"/>
  <c r="A60" i="42" s="1"/>
  <c r="A61" i="42" s="1"/>
  <c r="A62" i="42" s="1"/>
  <c r="A63" i="42" s="1"/>
  <c r="A64" i="42" s="1"/>
  <c r="A65" i="42" s="1"/>
  <c r="A66" i="42" s="1"/>
  <c r="A68" i="42" s="1"/>
  <c r="A69" i="42" s="1"/>
  <c r="A70" i="42" s="1"/>
  <c r="A71" i="42" s="1"/>
  <c r="A72" i="42" s="1"/>
  <c r="A73" i="42" s="1"/>
  <c r="A74" i="42" s="1"/>
  <c r="A75" i="42" s="1"/>
  <c r="A76" i="42" s="1"/>
  <c r="A77" i="42" s="1"/>
  <c r="A78" i="42" s="1"/>
  <c r="A79" i="42" s="1"/>
  <c r="A80" i="42" s="1"/>
  <c r="A81" i="42" s="1"/>
  <c r="A82" i="42" s="1"/>
  <c r="A83" i="42" s="1"/>
  <c r="A84" i="42" s="1"/>
  <c r="A85" i="42" s="1"/>
  <c r="A86" i="42" s="1"/>
  <c r="A87" i="42" s="1"/>
  <c r="A88" i="42" s="1"/>
  <c r="A89" i="42" s="1"/>
  <c r="A90" i="42" s="1"/>
  <c r="A91" i="42" s="1"/>
  <c r="A92" i="42" s="1"/>
  <c r="A93" i="42" s="1"/>
  <c r="A94" i="42" s="1"/>
  <c r="A95" i="42" s="1"/>
  <c r="I108" i="45"/>
  <c r="D18" i="47" s="1"/>
  <c r="A97" i="42" l="1"/>
  <c r="A98" i="42" s="1"/>
  <c r="A99" i="42" s="1"/>
  <c r="I105" i="45"/>
  <c r="D17" i="47" s="1"/>
  <c r="F4" i="43"/>
  <c r="F3" i="43"/>
  <c r="K4" i="43"/>
  <c r="H104" i="45" s="1"/>
  <c r="A100" i="42" l="1"/>
  <c r="A101" i="42" s="1"/>
  <c r="A102" i="42" s="1"/>
  <c r="A103" i="42" s="1"/>
  <c r="A104" i="42" s="1"/>
  <c r="A105" i="42" s="1"/>
  <c r="A106" i="42" s="1"/>
  <c r="A107" i="42" s="1"/>
  <c r="A109" i="42" s="1"/>
  <c r="A110" i="42" s="1"/>
  <c r="I104" i="45"/>
  <c r="I116" i="45" s="1"/>
  <c r="H116" i="45"/>
  <c r="H3" i="45"/>
  <c r="H118" i="45" s="1"/>
  <c r="H105" i="45"/>
  <c r="K3" i="43"/>
  <c r="F17" i="47" l="1"/>
  <c r="A112" i="42"/>
  <c r="A113" i="42" s="1"/>
  <c r="A114" i="42" s="1"/>
  <c r="A116" i="42" l="1"/>
  <c r="A117" i="42" s="1"/>
  <c r="A118" i="42" s="1"/>
  <c r="A119" i="42" s="1"/>
  <c r="A120" i="42" s="1"/>
  <c r="A121" i="42" s="1"/>
  <c r="A9" i="43" s="1"/>
  <c r="A10" i="43" s="1"/>
  <c r="A11" i="43" s="1"/>
  <c r="A12" i="43" s="1"/>
  <c r="A13" i="43" s="1"/>
  <c r="A14" i="43" s="1"/>
  <c r="A15" i="43" s="1"/>
  <c r="A16" i="43" s="1"/>
  <c r="A17" i="43" s="1"/>
  <c r="A18" i="43" s="1"/>
  <c r="A20" i="43" s="1"/>
  <c r="A21" i="43" s="1"/>
  <c r="A22" i="43" s="1"/>
  <c r="A23" i="43" s="1"/>
  <c r="A24" i="43" s="1"/>
  <c r="I54" i="45"/>
  <c r="D9" i="47" s="1"/>
  <c r="F3" i="2"/>
  <c r="F4" i="2"/>
  <c r="G2" i="2" s="1"/>
  <c r="G3" i="2" s="1"/>
  <c r="G5" i="48" l="1"/>
  <c r="G6" i="48"/>
  <c r="G8" i="48"/>
  <c r="G9" i="48"/>
  <c r="G18" i="48"/>
  <c r="G7" i="48"/>
  <c r="G15" i="48"/>
  <c r="G16" i="48"/>
  <c r="G17" i="48"/>
  <c r="G19" i="48"/>
  <c r="I5" i="45"/>
  <c r="I3" i="45" s="1"/>
  <c r="J3" i="45" s="1"/>
  <c r="F18" i="48" l="1"/>
  <c r="F15" i="48"/>
  <c r="F19" i="48"/>
  <c r="F7" i="48"/>
  <c r="F17" i="48"/>
  <c r="F6" i="48"/>
  <c r="F5" i="48"/>
  <c r="H5" i="48" s="1"/>
  <c r="F8" i="48"/>
  <c r="F16" i="48"/>
  <c r="F9" i="48"/>
  <c r="F10" i="48"/>
  <c r="F11" i="48"/>
  <c r="F14" i="48"/>
  <c r="F12" i="48"/>
  <c r="F13" i="48"/>
  <c r="I114" i="45"/>
  <c r="F5" i="47"/>
  <c r="H19" i="48" l="1"/>
  <c r="I19" i="48" s="1"/>
  <c r="H8" i="48"/>
  <c r="I8" i="48" s="1"/>
  <c r="H9" i="48"/>
  <c r="I9" i="48" s="1"/>
  <c r="H17" i="48"/>
  <c r="I17" i="48" s="1"/>
  <c r="H14" i="48"/>
  <c r="I14" i="48" s="1"/>
  <c r="H13" i="48"/>
  <c r="I13" i="48" s="1"/>
  <c r="H11" i="48"/>
  <c r="I11" i="48" s="1"/>
  <c r="H12" i="48"/>
  <c r="I12" i="48" s="1"/>
  <c r="H15" i="48"/>
  <c r="I15" i="48" s="1"/>
  <c r="N11" i="48"/>
  <c r="H16" i="48"/>
  <c r="I16" i="48" s="1"/>
  <c r="H7" i="48"/>
  <c r="I7" i="48" s="1"/>
  <c r="H6" i="48"/>
  <c r="I6" i="48" s="1"/>
  <c r="F21" i="48"/>
  <c r="N6" i="48" s="1"/>
  <c r="I5" i="48"/>
  <c r="G21" i="48"/>
  <c r="H18" i="48"/>
  <c r="I18" i="48" s="1"/>
  <c r="N10" i="48"/>
  <c r="B131" i="45"/>
  <c r="N14" i="48" s="1"/>
  <c r="I118" i="45"/>
  <c r="H10" i="48"/>
  <c r="I10" i="48" s="1"/>
  <c r="D131" i="45" l="1"/>
  <c r="Q11" i="48"/>
  <c r="Q10" i="48" s="1"/>
  <c r="J17" i="47" s="1"/>
  <c r="N7" i="48"/>
  <c r="Q7" i="48" s="1"/>
  <c r="Q6" i="48" s="1"/>
  <c r="J16" i="47" s="1"/>
  <c r="O17" i="48"/>
  <c r="H21" i="48"/>
  <c r="O18" i="48" l="1"/>
  <c r="B134" i="45" s="1"/>
  <c r="D134" i="45" s="1"/>
  <c r="D133" i="45"/>
  <c r="H18" i="65"/>
  <c r="D135" i="45" l="1"/>
  <c r="N15" i="48"/>
  <c r="Q15" i="48" s="1"/>
  <c r="Q14" i="48" s="1"/>
  <c r="J18" i="47" s="1"/>
  <c r="L9" i="64" l="1"/>
</calcChain>
</file>

<file path=xl/sharedStrings.xml><?xml version="1.0" encoding="utf-8"?>
<sst xmlns="http://schemas.openxmlformats.org/spreadsheetml/2006/main" count="6517" uniqueCount="1786">
  <si>
    <t>Se cuenta con un Check list para verificación de los RACKS y se toman acciones con personal calificado</t>
  </si>
  <si>
    <t>El personal logístico registra los comportamientos inseguros y toma acciones</t>
  </si>
  <si>
    <t>El establecimiento posee inducción de ingreso para visitas y contratistas</t>
  </si>
  <si>
    <t>La lideranza del personal de logística tiene objetivos vinculados a la seguridad (monitoreo de seguridad, capacitaciones, etc.)</t>
  </si>
  <si>
    <t>NRO.</t>
  </si>
  <si>
    <t>CALIDAD</t>
  </si>
  <si>
    <t>Control general de la carga incluye vencimientos</t>
  </si>
  <si>
    <t>Control general de cantidad y estado de  bultos recibidos</t>
  </si>
  <si>
    <t>No se encuentran pallets rotos, deteriorados, dañados almacenando mercadería</t>
  </si>
  <si>
    <t>En el depósito no se perciben olores extraños provenientes de estos químicos.</t>
  </si>
  <si>
    <t>La temperatura de los productos secos no supera los 30°C (promedio máximo diario) y 35°C  máximo y se garantiza mediante elemento de medición y registros</t>
  </si>
  <si>
    <t>Los contenedores utilizados para el reparto conservan la integridad del producto.</t>
  </si>
  <si>
    <t>Los productos rechazados no aptos son rápidamente segregados de los productos aptos</t>
  </si>
  <si>
    <t>Sector de carga y descarga en buenas condiciones de limpieza, cumple con el plan de limpieza</t>
  </si>
  <si>
    <t>El depósito cuenta con aberturas (puertas, portones y ventanas) que garantizan hermeticidad y se mantienen cerradas</t>
  </si>
  <si>
    <t>ORGANIZACIÓN Y CULTURA</t>
  </si>
  <si>
    <t>5S</t>
  </si>
  <si>
    <t>RUTINA E INDICADORES</t>
  </si>
  <si>
    <t>GERENCIAMIENTO Y MEJORA CONTINUA</t>
  </si>
  <si>
    <t>PLANEAMIENTO ESTRATEGICO</t>
  </si>
  <si>
    <t>Se cuenta con un análisis de las rutas peligrosas (ej. riesgos de robo, curvas peligrosas, etc.)</t>
  </si>
  <si>
    <t>Tableros y conexiones eléctricas en buen estado</t>
  </si>
  <si>
    <t>Control de Temperaturas</t>
  </si>
  <si>
    <t>Limpieza</t>
  </si>
  <si>
    <t>Manejo Integrado de Plagas</t>
  </si>
  <si>
    <t>Cuidado del producto durante las distintas etapas</t>
  </si>
  <si>
    <t>INFRAESTRUCTURA LAYOUT Y FLOTA</t>
  </si>
  <si>
    <t>Método de 5"S"</t>
  </si>
  <si>
    <t>Posee implementadas las 3 primeras "S"   (CLASIFICAR - ORDENAR - LIMPIAR)</t>
  </si>
  <si>
    <t>Organigramas y Perfiles</t>
  </si>
  <si>
    <t>Procesos Documentados</t>
  </si>
  <si>
    <t>Se encuentra definido y documentado el perfil del puesto de MML logística</t>
  </si>
  <si>
    <t>Se encuentran definidos los perfiles de puestos principales (comercial y administrativo)</t>
  </si>
  <si>
    <t>El organigrama se encuentra definido y documentado por la distribuidora</t>
  </si>
  <si>
    <t>Los responsables del proceso conocen el procedimiento, el mismo coincide con el proceso</t>
  </si>
  <si>
    <t>Están definidas matrices de polivalencia o policompetencia</t>
  </si>
  <si>
    <t>Entorno - Acceso</t>
  </si>
  <si>
    <t>Seguridad Interna</t>
  </si>
  <si>
    <t>Lay Out - Capacidad y Modulacion</t>
  </si>
  <si>
    <t>Techos  y Paredes: Estado</t>
  </si>
  <si>
    <t>Pisos y Juntas: Estado</t>
  </si>
  <si>
    <t>Aberturas</t>
  </si>
  <si>
    <t>Grupo Electrógeno</t>
  </si>
  <si>
    <t>Camara de Refrigerados</t>
  </si>
  <si>
    <t>Camara de Congelados</t>
  </si>
  <si>
    <t>Equipamiento de Manipuleo</t>
  </si>
  <si>
    <t>Vehículos</t>
  </si>
  <si>
    <t>Iluminación</t>
  </si>
  <si>
    <t>Despacho Legales Higiene</t>
  </si>
  <si>
    <t>Informática</t>
  </si>
  <si>
    <t>Comunicaciones</t>
  </si>
  <si>
    <t>Existen cámaras de video externas pública o propia que cubran el ingreso principal o aledaños</t>
  </si>
  <si>
    <t>Fácil maniobrabilidad</t>
  </si>
  <si>
    <t>El depósito permite almacenar una cobertura de stock mayor o igual al objetivo establecido por Arcor</t>
  </si>
  <si>
    <t>Cuenta con extractores eólicos y/o ventilación forzada</t>
  </si>
  <si>
    <t>No posee desniveles entre los paños</t>
  </si>
  <si>
    <t>El piso no desprende polvillo y/o no se visualizan grietas</t>
  </si>
  <si>
    <t>Cuenta con 2 o más portones</t>
  </si>
  <si>
    <t>Posee ingreso de personal independiente de la carga</t>
  </si>
  <si>
    <t>Se encuentran centradas a lo largo de los pasillos</t>
  </si>
  <si>
    <t>No se perciben sectores oscuros que afecten la operación</t>
  </si>
  <si>
    <t>Se aprovecha la luz natural para la operación diurna sin aumento considerable de la temperatura en el interior</t>
  </si>
  <si>
    <t>Se ubican en el exterior del edificio</t>
  </si>
  <si>
    <t>Posee aislación térmica en paredes laterales, techo y acceso. Paredes aisladas y/o revestidas, bien conservadas, que no permitan la acumulación de tierra o plagas</t>
  </si>
  <si>
    <t>Su ubicación permite carga / descarga directa desde el transporte</t>
  </si>
  <si>
    <t>Posee termómetro</t>
  </si>
  <si>
    <t>Cuenta con un equipo propio que le permite operar dentro del depósito y a su vez realizar la descarga de camiones</t>
  </si>
  <si>
    <t>El personal de logística cuenta con acceso al sistema y/o con usuario propio</t>
  </si>
  <si>
    <t>El personal de logística cuenta con acceso a correo electrónico y/o con cuenta propia</t>
  </si>
  <si>
    <t>El personal de logística cuenta con equipamiento informático en su oficina</t>
  </si>
  <si>
    <t>Cuenta con un procedimiento escrito estandarizado para la realización de la entrega contemplando: navegación, ejecución y cierre. Se incluye el proceso posterior a la ruta (cierre físico / financiero, documentación, rechazos, devoluciones, etc.)</t>
  </si>
  <si>
    <t>Se cuenta con un procedimiento escrito para identificar si el producto está en condiciones para ser entregado y el personal que realizan la entrega tiene conocimiento del mismo</t>
  </si>
  <si>
    <t>Se mide y gestiona el tiempo en ruta y el tiempo en atención por PDV</t>
  </si>
  <si>
    <t>Se gestionan los reclamos y se miden el tiempo de resolución</t>
  </si>
  <si>
    <t>Cuentan con un histórico de mantenimiento por unidad indicando KM (vehículos), tiempo de uso (equipos de elevación y manipulación), servicio realizado e importe abonado.</t>
  </si>
  <si>
    <t>El procedimiento de auxilio en ruta está documentado y divulgado para la operación</t>
  </si>
  <si>
    <t>7.1</t>
  </si>
  <si>
    <t>7.2</t>
  </si>
  <si>
    <t>7.3</t>
  </si>
  <si>
    <t>7.4</t>
  </si>
  <si>
    <t>8.1</t>
  </si>
  <si>
    <t>8.2</t>
  </si>
  <si>
    <t>Previsión de espacio para el guardado/almacenamiento y/o reordenamiento de la mercadería</t>
  </si>
  <si>
    <t>Previsión de personas y equipo (Apilador/Autoelevador) necesarias para la descarga</t>
  </si>
  <si>
    <t>Cuenta con una ventana horaria de 8hs para recepción de mercadería</t>
  </si>
  <si>
    <t>Lugar físico identificado y separado para almacenar rechazos/devoluciones</t>
  </si>
  <si>
    <t>Cuenta con el Procedimiento Proceso de Recepción y Control de Mercadería</t>
  </si>
  <si>
    <t>Cuenta con el Procedimiento Proceso de Reposición de Productos en Picking</t>
  </si>
  <si>
    <t>Cuenta con el Procedimiento Proceso de Almacenamiento de Productos</t>
  </si>
  <si>
    <t>Cuenta con el Procedimiento Proceso de Armado y Control de Consolidados</t>
  </si>
  <si>
    <t>Cuenta con el Procedimiento Proceso de Armado de Pedidos</t>
  </si>
  <si>
    <t>Cuenta con el Procedimiento Proceso de Control de Inventario</t>
  </si>
  <si>
    <t>Cuenta con la Política de manejo de vidrio</t>
  </si>
  <si>
    <t>Cuenta con una check-list para controlar las adecuadas condiciones de higiene, limpieza y acondicionamiento de la unidad contenedora del vehículo</t>
  </si>
  <si>
    <t>COORDINACIÓN DEL ABASTECIMIENTO</t>
  </si>
  <si>
    <t>PROCESOS DOCUMENTADOS</t>
  </si>
  <si>
    <t>1.1.1</t>
  </si>
  <si>
    <t>1.1.2</t>
  </si>
  <si>
    <t>1.2.1</t>
  </si>
  <si>
    <t>1.2.2</t>
  </si>
  <si>
    <t>1.2.3</t>
  </si>
  <si>
    <t>1.2.4</t>
  </si>
  <si>
    <t>1.4.1</t>
  </si>
  <si>
    <t>1.4.2</t>
  </si>
  <si>
    <t>2.1.2</t>
  </si>
  <si>
    <t>2.1.3</t>
  </si>
  <si>
    <t>2.1.4</t>
  </si>
  <si>
    <t>2.1.5</t>
  </si>
  <si>
    <t>2.2.1</t>
  </si>
  <si>
    <t>2.2.2</t>
  </si>
  <si>
    <t>2.2.3</t>
  </si>
  <si>
    <t>2.2.4</t>
  </si>
  <si>
    <t>2.3.1</t>
  </si>
  <si>
    <t>2.3.2</t>
  </si>
  <si>
    <t>2.3.3</t>
  </si>
  <si>
    <t>2.3.4</t>
  </si>
  <si>
    <t>2.3.5</t>
  </si>
  <si>
    <t>2.3.6</t>
  </si>
  <si>
    <t>Componente</t>
  </si>
  <si>
    <t>ENTORNO - ACCESO</t>
  </si>
  <si>
    <t>CAMARA DE REFRIGERADOS</t>
  </si>
  <si>
    <t>CAMARA DE CONGELADOS</t>
  </si>
  <si>
    <t>EQUIPAMIENTO DE MANIPULEO</t>
  </si>
  <si>
    <t>El material se encuentra en un sector aislado de la mercadería</t>
  </si>
  <si>
    <t>El material se encuentra identificado</t>
  </si>
  <si>
    <t>6.1.1</t>
  </si>
  <si>
    <t>6.1.2</t>
  </si>
  <si>
    <t>6.2.1</t>
  </si>
  <si>
    <t>6.3.1</t>
  </si>
  <si>
    <t>6.4.1</t>
  </si>
  <si>
    <t>6.4.2</t>
  </si>
  <si>
    <t>6.5.1</t>
  </si>
  <si>
    <t>6.5.2</t>
  </si>
  <si>
    <t>6.5.3</t>
  </si>
  <si>
    <t>6.5.4</t>
  </si>
  <si>
    <t>6.6.1</t>
  </si>
  <si>
    <t>6.6.2</t>
  </si>
  <si>
    <t>6.6.3</t>
  </si>
  <si>
    <t>ACTIVO</t>
  </si>
  <si>
    <t>PROACTIVO</t>
  </si>
  <si>
    <t>REACTIVO</t>
  </si>
  <si>
    <t>INACTIVO</t>
  </si>
  <si>
    <t>N/A</t>
  </si>
  <si>
    <t xml:space="preserve"> 85% &gt;  y  100%</t>
  </si>
  <si>
    <t>70% &gt;  y  &lt; 85%</t>
  </si>
  <si>
    <t>50% &gt;  y  &lt; 70%</t>
  </si>
  <si>
    <t>25% &gt;  y  &lt; 50%</t>
  </si>
  <si>
    <t>0% &gt;  y  &lt; 25%</t>
  </si>
  <si>
    <t>INVENTARIOS ROTATIVOS</t>
  </si>
  <si>
    <t>INDICADORES</t>
  </si>
  <si>
    <t>DEVOLUCIONES DE PRODUCTOS NO APTOS</t>
  </si>
  <si>
    <t>RECHAZOS</t>
  </si>
  <si>
    <t>CONTROL DE PLAGAS</t>
  </si>
  <si>
    <t>Buena Practica Logistica</t>
  </si>
  <si>
    <t>LAY OUT - CAPACIDAD Y MODULACIÓN</t>
  </si>
  <si>
    <t>HERRAMIENTAS DE GESTIÓN</t>
  </si>
  <si>
    <t>1.1</t>
  </si>
  <si>
    <t>2.1.1</t>
  </si>
  <si>
    <t>2.2.5</t>
  </si>
  <si>
    <t>2.2.6</t>
  </si>
  <si>
    <t>2.2.7</t>
  </si>
  <si>
    <t>2.2.8</t>
  </si>
  <si>
    <t>2.2.9</t>
  </si>
  <si>
    <t>2.2.10</t>
  </si>
  <si>
    <t>2.2.11</t>
  </si>
  <si>
    <t>2.2.12</t>
  </si>
  <si>
    <t>2.2.14</t>
  </si>
  <si>
    <t>2.2.15</t>
  </si>
  <si>
    <t>2.2.16</t>
  </si>
  <si>
    <t>2.2.17</t>
  </si>
  <si>
    <t>2.2.18</t>
  </si>
  <si>
    <t>2.2.19</t>
  </si>
  <si>
    <t>2.2.20</t>
  </si>
  <si>
    <t>2.2.21</t>
  </si>
  <si>
    <t>2.3.7</t>
  </si>
  <si>
    <t>2.3.8</t>
  </si>
  <si>
    <t>Las acciones surgidas de la planificación quedan plasmadas en un plan de acción</t>
  </si>
  <si>
    <t>Planificación Táctica</t>
  </si>
  <si>
    <t>Planificación Estratégica</t>
  </si>
  <si>
    <t>La distribuidora tiene un plan de largo plazo para dimensionar su estructura</t>
  </si>
  <si>
    <t>12.1.1</t>
  </si>
  <si>
    <t>Se realiza un análisis de FODA anual y con definición de estrategias</t>
  </si>
  <si>
    <t>Definición de Objetivos</t>
  </si>
  <si>
    <t>El presupuesto se construye considerando mejoras en la productividad y eficiencia de los KPIs</t>
  </si>
  <si>
    <t>Queda plasmado un plan de acción/respuesta en base a las sugerencias realizadas</t>
  </si>
  <si>
    <t>Sugerencias de Mejora</t>
  </si>
  <si>
    <t>Se mide la cantidad de PDVs abiertos en área de influencia. Se categorizan en atendido regularmente, no comprador o punto de venta potencial y se establecen acciones para captarlos</t>
  </si>
  <si>
    <t>Indicadores</t>
  </si>
  <si>
    <t>10.2.1</t>
  </si>
  <si>
    <t>11.2.1</t>
  </si>
  <si>
    <t>11.1.1</t>
  </si>
  <si>
    <t>11.1.2</t>
  </si>
  <si>
    <t>10.1.1</t>
  </si>
  <si>
    <t>3.1.1</t>
  </si>
  <si>
    <t>3.2.1</t>
  </si>
  <si>
    <t>3.2.2</t>
  </si>
  <si>
    <t>3.2.3</t>
  </si>
  <si>
    <t>3.2.4</t>
  </si>
  <si>
    <t>3.3.1</t>
  </si>
  <si>
    <t>3.3.2</t>
  </si>
  <si>
    <t>3.3.3</t>
  </si>
  <si>
    <t>3.3.4</t>
  </si>
  <si>
    <t>3.4.1</t>
  </si>
  <si>
    <t>3.4.2</t>
  </si>
  <si>
    <t>3.5.1</t>
  </si>
  <si>
    <t>3.5.2</t>
  </si>
  <si>
    <t>3.5.3</t>
  </si>
  <si>
    <t>3.5.4</t>
  </si>
  <si>
    <t>3.6.1</t>
  </si>
  <si>
    <t>3.6.2</t>
  </si>
  <si>
    <t>3.6.3</t>
  </si>
  <si>
    <t>3.6.4</t>
  </si>
  <si>
    <t>3.7.1</t>
  </si>
  <si>
    <t>3.7.2</t>
  </si>
  <si>
    <t>3.8.1</t>
  </si>
  <si>
    <t>3.8.2</t>
  </si>
  <si>
    <t>3.8.3</t>
  </si>
  <si>
    <t>3.8.4</t>
  </si>
  <si>
    <t>3.10.2</t>
  </si>
  <si>
    <t>3.10.3</t>
  </si>
  <si>
    <t>3.10.1</t>
  </si>
  <si>
    <t>3.9.1</t>
  </si>
  <si>
    <t>3.9.2</t>
  </si>
  <si>
    <t>3.12.1</t>
  </si>
  <si>
    <t>3.12.2</t>
  </si>
  <si>
    <t>3.12.3</t>
  </si>
  <si>
    <t>3.13.1</t>
  </si>
  <si>
    <t>3.13.2</t>
  </si>
  <si>
    <t>3.13.3</t>
  </si>
  <si>
    <t>3.14.1</t>
  </si>
  <si>
    <t>3.14.2</t>
  </si>
  <si>
    <t>3.15.1</t>
  </si>
  <si>
    <t>3.15.2</t>
  </si>
  <si>
    <t>3.15.3</t>
  </si>
  <si>
    <t>3.16.1</t>
  </si>
  <si>
    <t>3.16.2</t>
  </si>
  <si>
    <t>3.16.3</t>
  </si>
  <si>
    <t>3.17.1</t>
  </si>
  <si>
    <t>3.18.1</t>
  </si>
  <si>
    <t>3.19.1</t>
  </si>
  <si>
    <t>3.20.1</t>
  </si>
  <si>
    <t>3.20.2</t>
  </si>
  <si>
    <t>3.8.5</t>
  </si>
  <si>
    <t>Pop y Mobiliario</t>
  </si>
  <si>
    <t>3.11.1</t>
  </si>
  <si>
    <t>4.1.1</t>
  </si>
  <si>
    <t>4.1.2</t>
  </si>
  <si>
    <t>4.1.3</t>
  </si>
  <si>
    <t>4.1.4</t>
  </si>
  <si>
    <t>Selección de Personal</t>
  </si>
  <si>
    <t>4.2.1</t>
  </si>
  <si>
    <t>4.2.2</t>
  </si>
  <si>
    <t>4.3.1</t>
  </si>
  <si>
    <t>Remuneración y beneficios</t>
  </si>
  <si>
    <t>El establecimiento cuenta con una capacitación anual de los beneficios que forman parte de la remuneración</t>
  </si>
  <si>
    <t>Encuesta de clima y retención de talentos</t>
  </si>
  <si>
    <t>Gestión de vacaciones y ausentismo</t>
  </si>
  <si>
    <t>Las posiciones vacantes son cubiertas dentro de los 45 días y se cuenta con el proceso detallado</t>
  </si>
  <si>
    <t>4.4.1</t>
  </si>
  <si>
    <t>4.4.2</t>
  </si>
  <si>
    <t>4.5.1</t>
  </si>
  <si>
    <t>4.5.2</t>
  </si>
  <si>
    <t>Se cuenta con un programa de inducción al puesto y se realiza una capacitación gradual</t>
  </si>
  <si>
    <t>4.6.1</t>
  </si>
  <si>
    <t>4.6.2</t>
  </si>
  <si>
    <t>Evaluaciones de desempeño y cumplimiento de objetivos</t>
  </si>
  <si>
    <t>Hay evaluación formal del personal al menos anual dando feedback de oportunidades de desarrollo</t>
  </si>
  <si>
    <t>4.7.1</t>
  </si>
  <si>
    <t>5.1.1</t>
  </si>
  <si>
    <t>5.1.2</t>
  </si>
  <si>
    <t>5.1.3</t>
  </si>
  <si>
    <t>5.1.4</t>
  </si>
  <si>
    <t>Información al Personal</t>
  </si>
  <si>
    <t>Recepción</t>
  </si>
  <si>
    <t>Rotación</t>
  </si>
  <si>
    <t>Armado de Pedidos</t>
  </si>
  <si>
    <t>Control de Consolidado</t>
  </si>
  <si>
    <t>Pedidos Listos Para Carga</t>
  </si>
  <si>
    <t>Carga de Pedidos</t>
  </si>
  <si>
    <t>Despacho</t>
  </si>
  <si>
    <t>Rechazos / Devoluciones</t>
  </si>
  <si>
    <t>Herramientas de Gestion</t>
  </si>
  <si>
    <t>Planificación Operativa</t>
  </si>
  <si>
    <t>Mantenimiento</t>
  </si>
  <si>
    <t>Activación del Abastecimiento</t>
  </si>
  <si>
    <t>Coordinación del Abastecimiento</t>
  </si>
  <si>
    <t>Reposición de Mercaderia</t>
  </si>
  <si>
    <t>Inventarios Rotativos</t>
  </si>
  <si>
    <t>Entrega al Cliente</t>
  </si>
  <si>
    <t>Recall y Trazabilidad</t>
  </si>
  <si>
    <t>Cada área del lay out se encuentra demarcada (Zonas pintadas en el piso)</t>
  </si>
  <si>
    <t>Áreas principales identificadas (Recepción-Despacho-Devoluciones-Mercadería no comercializable-picking/almacenamiento)</t>
  </si>
  <si>
    <t>La información en ella se encuentra actualizada</t>
  </si>
  <si>
    <t>El lugar se encuentra identificado con cartelería</t>
  </si>
  <si>
    <t>Control de rotación y vencimientos junto al inventario rotativo y/o auditorias de 5S</t>
  </si>
  <si>
    <t>Se lleva registro de las unidades vencidas</t>
  </si>
  <si>
    <t>El ordenamiento coincide con las facturas/pedido</t>
  </si>
  <si>
    <t>El ordenamiento físico de los productos coincide con el consolidado</t>
  </si>
  <si>
    <t>La carga en la zona de despacho contiene identificación zona/reparto/fletero.</t>
  </si>
  <si>
    <t>Realizan compras proporcionales y distribuidas dentro del mes</t>
  </si>
  <si>
    <t xml:space="preserve">Se analizan causas al finalizar. Se registran acciones </t>
  </si>
  <si>
    <t>Posee registro de reclamos del cliente (Planilla  con registro de incidentes)</t>
  </si>
  <si>
    <t>Cuenta con registro de pedidos reasignados</t>
  </si>
  <si>
    <t>Cuenta con el Procedimiento Proceso de Recall</t>
  </si>
  <si>
    <t>6.7.1</t>
  </si>
  <si>
    <t>6.7.2</t>
  </si>
  <si>
    <t>6.7.3</t>
  </si>
  <si>
    <t>6.8.1</t>
  </si>
  <si>
    <t>6.9.1</t>
  </si>
  <si>
    <t>6.9.2</t>
  </si>
  <si>
    <t>6.10.1</t>
  </si>
  <si>
    <t>6.10.2</t>
  </si>
  <si>
    <t>6.11.1</t>
  </si>
  <si>
    <t>6.12.1</t>
  </si>
  <si>
    <t>6.13.1</t>
  </si>
  <si>
    <t>7.5</t>
  </si>
  <si>
    <t>7.6</t>
  </si>
  <si>
    <t>8.3</t>
  </si>
  <si>
    <t>8.4</t>
  </si>
  <si>
    <t>8.5</t>
  </si>
  <si>
    <t>8.6</t>
  </si>
  <si>
    <t>8.7</t>
  </si>
  <si>
    <t>1.2</t>
  </si>
  <si>
    <t>1.3</t>
  </si>
  <si>
    <t>1.4</t>
  </si>
  <si>
    <t>2.1</t>
  </si>
  <si>
    <t>2.2</t>
  </si>
  <si>
    <t>2.3</t>
  </si>
  <si>
    <t>2.4</t>
  </si>
  <si>
    <t>Cultura de Buenas prácticas de manufactura</t>
  </si>
  <si>
    <t>10.1</t>
  </si>
  <si>
    <t>10.2</t>
  </si>
  <si>
    <t>11.1</t>
  </si>
  <si>
    <t>11.2</t>
  </si>
  <si>
    <t>3.1</t>
  </si>
  <si>
    <t>3.2</t>
  </si>
  <si>
    <t>3.3</t>
  </si>
  <si>
    <t>3.4</t>
  </si>
  <si>
    <t>3.5</t>
  </si>
  <si>
    <t>3.6</t>
  </si>
  <si>
    <t>3.7</t>
  </si>
  <si>
    <t>3.8</t>
  </si>
  <si>
    <t>3.9</t>
  </si>
  <si>
    <t>3.10</t>
  </si>
  <si>
    <t>3.11</t>
  </si>
  <si>
    <t>3.12</t>
  </si>
  <si>
    <t>3.13</t>
  </si>
  <si>
    <t>3.14</t>
  </si>
  <si>
    <t>3.15</t>
  </si>
  <si>
    <t>3.16</t>
  </si>
  <si>
    <t>3.17</t>
  </si>
  <si>
    <t>3.18</t>
  </si>
  <si>
    <t>3.19</t>
  </si>
  <si>
    <t>3.20</t>
  </si>
  <si>
    <t>4.1</t>
  </si>
  <si>
    <t>4.2</t>
  </si>
  <si>
    <t>4.3</t>
  </si>
  <si>
    <t>4.4</t>
  </si>
  <si>
    <t>4.5</t>
  </si>
  <si>
    <t>4.6</t>
  </si>
  <si>
    <t>4.7</t>
  </si>
  <si>
    <t>5.1</t>
  </si>
  <si>
    <t>12.1</t>
  </si>
  <si>
    <t xml:space="preserve">SEGURIDAD  </t>
  </si>
  <si>
    <t>6.1</t>
  </si>
  <si>
    <t>6.2</t>
  </si>
  <si>
    <t>6.3</t>
  </si>
  <si>
    <t>6.4</t>
  </si>
  <si>
    <t>6.5</t>
  </si>
  <si>
    <t>6.6</t>
  </si>
  <si>
    <t>6.7</t>
  </si>
  <si>
    <t>6.8</t>
  </si>
  <si>
    <t>6.9</t>
  </si>
  <si>
    <t>6.10</t>
  </si>
  <si>
    <t>6.11</t>
  </si>
  <si>
    <t>6.12</t>
  </si>
  <si>
    <t>6.13</t>
  </si>
  <si>
    <t>7.1.1</t>
  </si>
  <si>
    <t>PROCESOS LOGISTICOS</t>
  </si>
  <si>
    <t>7.2.1</t>
  </si>
  <si>
    <t>7.3.1</t>
  </si>
  <si>
    <t>7.4.1</t>
  </si>
  <si>
    <t>7.5.1</t>
  </si>
  <si>
    <t>7.5.2</t>
  </si>
  <si>
    <t>7.5.3</t>
  </si>
  <si>
    <t>7.6.1</t>
  </si>
  <si>
    <t>ESTANDARIZACION</t>
  </si>
  <si>
    <t>8.1.1</t>
  </si>
  <si>
    <t>8.1.2</t>
  </si>
  <si>
    <t>8.1.3</t>
  </si>
  <si>
    <t>8.2.1</t>
  </si>
  <si>
    <t>8.2.2</t>
  </si>
  <si>
    <t>8.3.1</t>
  </si>
  <si>
    <t>8.4.1</t>
  </si>
  <si>
    <t>8.5.1</t>
  </si>
  <si>
    <t>8.6.1</t>
  </si>
  <si>
    <t>8.6.2</t>
  </si>
  <si>
    <t>8.7.1</t>
  </si>
  <si>
    <t>9.1</t>
  </si>
  <si>
    <t>9.1.1</t>
  </si>
  <si>
    <t>9.2</t>
  </si>
  <si>
    <t>9.2.1</t>
  </si>
  <si>
    <t>9.3.1</t>
  </si>
  <si>
    <t>9.4.1</t>
  </si>
  <si>
    <t>9.4.2</t>
  </si>
  <si>
    <t>9.5.1</t>
  </si>
  <si>
    <t>9.3</t>
  </si>
  <si>
    <t>9.4</t>
  </si>
  <si>
    <t>9.5</t>
  </si>
  <si>
    <t>9.6</t>
  </si>
  <si>
    <t>NIVEL DE SERVICIO Y TECNOLOGIA</t>
  </si>
  <si>
    <t>9.3.2</t>
  </si>
  <si>
    <t>2.2.22</t>
  </si>
  <si>
    <t>Politica de Manejo de Vidrio</t>
  </si>
  <si>
    <t>7.2.2</t>
  </si>
  <si>
    <t>7.2.3</t>
  </si>
  <si>
    <t>7.2.4</t>
  </si>
  <si>
    <t>7.4.2</t>
  </si>
  <si>
    <t>7.4.3</t>
  </si>
  <si>
    <t>7.4.4</t>
  </si>
  <si>
    <t>7.4.5</t>
  </si>
  <si>
    <t>7.4.6</t>
  </si>
  <si>
    <t>7.4.7</t>
  </si>
  <si>
    <t>Se registran e informan las acciones o novedades en un pizarrón o avisadores</t>
  </si>
  <si>
    <t>4.7.2</t>
  </si>
  <si>
    <t>El equipo para operar (dentro del depósito) es eléctrico</t>
  </si>
  <si>
    <t>Logistica participa de reuniones con Ventas y Administración, en las cuales se definen objetivos anuales y/o mensuales</t>
  </si>
  <si>
    <t>Se realiza el seguimiento de la  planificación en forma periódica (semanal, quincenal o mensual) evaluando el alcance de los resultados.</t>
  </si>
  <si>
    <t>Se cuenta con un plan de reemplazo de flota considerando opciones de nuevas tecnologías y necesidades de dimensionamiento.</t>
  </si>
  <si>
    <t>La estrategia comercial-logística de crecimiento está en plena implementación y se miden los avances (Plan de Crecimiento de 3 Años de ARCOR)</t>
  </si>
  <si>
    <t>Existe un registro de sugerencias realizadas por parte del personal.</t>
  </si>
  <si>
    <t>Se realiza periódicamente un plan de ruteo mas optimo en base a la  planificación territorial</t>
  </si>
  <si>
    <t>Se informa/comunica las compras (de volumen mayor a los normal o excepcionales) a Logística para que pueda planificar la operación de descarga y espacio necesario (Registro, email, etc.)</t>
  </si>
  <si>
    <t>Logística recibe el IAD (Informe Avanzado de Despacho)</t>
  </si>
  <si>
    <t>Las novedades se transmiten a CRM Logístico de ARCOR por correo, teniendo en cuenta el instructivo establecido para el envío de la documentación de respaldo</t>
  </si>
  <si>
    <t xml:space="preserve">Frecuencia definida documentada de revisión y/o modificación del lay-out (mínimo cada 3 meses, máximo cada 6 meses) </t>
  </si>
  <si>
    <t xml:space="preserve">Pasillos organizados por algún criterio lógico (Negocio, ABC, familia, etc.) </t>
  </si>
  <si>
    <t>No hay superposición entre áreas críticas (Despacho y Recepción por ej.)</t>
  </si>
  <si>
    <t>Se informa sobre productos próximos a vencer a fin de tomar acciones</t>
  </si>
  <si>
    <t xml:space="preserve">Criterio definido de  selección de ítems (ABC, rotativo, negocio, pasillo, etc.). Se toman y/o verifican  fechas de vencimientos. </t>
  </si>
  <si>
    <t>Existe un método de control de consolidado</t>
  </si>
  <si>
    <t>El pedido contiene identificación  de bultos, cliente, zona de reparto, factura, o alguna identificación que facilite la carga</t>
  </si>
  <si>
    <t>Pedido: La carga se realiza por LIFO de acuerdo al ruteo. Consolidado: La mercadería se carga organizada (manteniendo identificado cada negocio para su pickeo en el punto de venta</t>
  </si>
  <si>
    <t xml:space="preserve">Cuenta con metodología o registro de la hoja de ruta y el responsable del armado </t>
  </si>
  <si>
    <t>Ejecutan Check list de Seguridad del vehículo previo al despacho</t>
  </si>
  <si>
    <t>Dispone de alguna herramienta informática y la utiliza en las tareas/procesos del depósito</t>
  </si>
  <si>
    <t>Cuenta con la aplicación de Arcortruck  para gestionar las entregas, rechazos y/o devoluciones de los clientes</t>
  </si>
  <si>
    <t>Utiliza el Módulo de Recepción</t>
  </si>
  <si>
    <t>Utiliza el Módulo Inventario</t>
  </si>
  <si>
    <t>Utiliza el Módulo de Picking</t>
  </si>
  <si>
    <t>Utiliza el Módulo Control de Consolidados</t>
  </si>
  <si>
    <t>Utiliza el Módulo Armado de Pedidos</t>
  </si>
  <si>
    <t>Mercadería ordenada con algún criterio y documentación de respaldo para validación</t>
  </si>
  <si>
    <t>Se tiene una política de stock estándar definida por categoría de productos</t>
  </si>
  <si>
    <t>Cuenta con el Procedimiento Proceso de Control de Hojas de Ruta y Logística de Reversa</t>
  </si>
  <si>
    <t>El formato del procedimiento se ajusta al modelo estándar propuesto por Arcor</t>
  </si>
  <si>
    <t>Informan mensualmente el tablero al controller</t>
  </si>
  <si>
    <t>Cuentan con una herramienta donde los puntos de ventas evalúan las entregas y la tasa de respuesta es de al menos el 30% de los PDVs activos</t>
  </si>
  <si>
    <t>Hay un acuerdo de nivel de servicio con Ventas con planificación semanal</t>
  </si>
  <si>
    <t>Los instrumentos de medición alertan ante variaciones inaceptables de temperatura o fallas en el equipo de refrigeración</t>
  </si>
  <si>
    <t>Se identifican claramente los vencimientos</t>
  </si>
  <si>
    <t>Los bultos almacenados se encuentran en buen estado de conservación, apilabilidad y separación de la estiba contra la pared</t>
  </si>
  <si>
    <t>Se garantiza la inocuidad del producto evitando el contacto del envase primario o secundario con la madera u otro material contaminante</t>
  </si>
  <si>
    <t>Se garantiza la correcta rotación FEFO por gestión visual o informática</t>
  </si>
  <si>
    <t>El vehículo que transporta helados cuenta con instrumento de medición de temperatura permitiendo su verificación en cabina</t>
  </si>
  <si>
    <t>Las oficinas están construidas afuera o separados de las zonas donde se encuentran los productos</t>
  </si>
  <si>
    <t>Los baños, vestuarios y/o comedor están en buenas condiciones edilicias, no generan olores y/o contaminación cruzada</t>
  </si>
  <si>
    <t>Los productos químicos utilizados cuentan con los certificados de habilitación de la autoridad sanitaria correspondientes</t>
  </si>
  <si>
    <t>Existe plan/seguimiento de limpieza documentado</t>
  </si>
  <si>
    <t>Dispone de un sector para almacenar los residuos que se mantiene despejado y ordenado compacto y fácilmente lavable</t>
  </si>
  <si>
    <t>Cuenta con contenedores cerrados para depositar residuos</t>
  </si>
  <si>
    <t>El exterior del depósito se encuentra despejado, con el pasto corto, sin acumulación de desechos. No hay equipos/estructuras/POP etc. en desuso que favorezcan el anidamiento de plagas. (exterior e interior)</t>
  </si>
  <si>
    <t>La empresa cuenta con las habilitaciones vigentes requeridas para realizar todas las tareas del manejo integrado de plagas (incluye la aplicación de plaguicidas). Se deja registro de las aplicaciones (productos, sectores, objetivo, etc.)</t>
  </si>
  <si>
    <t>Posee termómetro en sector Secos, (no se permiten termómetros de mercurio)</t>
  </si>
  <si>
    <t>Posee terminación de alisado (a llana)</t>
  </si>
  <si>
    <t>Las juntas poseen relleno (compuesto elástico) y/o protección metálica que no genere golpes al tránsito de apiladoras o transpaletas</t>
  </si>
  <si>
    <t>Se encuentran por encima del nivel más alto de almacenamiento</t>
  </si>
  <si>
    <t>Se encuentran en buen estado (no se visualizan manchas de humedad), con rejillas de protección</t>
  </si>
  <si>
    <t>Cuenta con traspallets o "zorritas"</t>
  </si>
  <si>
    <t>Índice nivel de capacidad para productos refrigerados es menor que 1 respecto a su capacidad teórica real</t>
  </si>
  <si>
    <t>Posee termómetro en Cámara de Refrigerados, (no se permiten termómetros de mercurio)</t>
  </si>
  <si>
    <t>Índice nivel de capacidad para productos congelados es menor que 1 respecto a su capacidad teórica real</t>
  </si>
  <si>
    <t>Posee Generador Eléctrico que alimenta iluminación y sistemas informáticos</t>
  </si>
  <si>
    <t>Posee Generador Eléctrico que como mínimo garantiza alimentación continua de energía eléctrica a las cámaras</t>
  </si>
  <si>
    <t>Índice nivel de capacidad menor a 1 respecto a su capacidad teórica real</t>
  </si>
  <si>
    <t>Layout modular para el volumen teórico ideal de la infraestructura-mayor o igual 0,91</t>
  </si>
  <si>
    <t>Cuentan con un método/planilla de seguimiento de la documentación de los repartidores (Carnet de conducir y sanitario, tarjeta verde o azul, seguros, VTV o ITV, habilitaciones, etc.)</t>
  </si>
  <si>
    <t>Los transportes son de uso exclusivo para alimentos y se encuentran habilitados por la autoridad competente</t>
  </si>
  <si>
    <t>Se cuenta con un proceso de encuesta de clima laboral</t>
  </si>
  <si>
    <t>El distribuidor está acompañando medidas preventivas y acciones para evitar el turnover de liderazgo, como entrevistas de salidas</t>
  </si>
  <si>
    <t>Se gestionan los motivos del ausentismo</t>
  </si>
  <si>
    <t>Cuentan con alternativas logísticas más flexibles para atender en días pico, días de atención especial, urgencias</t>
  </si>
  <si>
    <t>Información al Cliente</t>
  </si>
  <si>
    <t>Existe una herramienta digital que muestre que el pedido está en camino.</t>
  </si>
  <si>
    <t>La herramienta debe notificar al PDV información relevante sobre el pedido (productos, cantidades e importe de la factura)</t>
  </si>
  <si>
    <t xml:space="preserve">Ventanas Horarias </t>
  </si>
  <si>
    <t>Verificar si el Distribuidor es capaz de acordar a nivel PDV una ventana horaria de entrega</t>
  </si>
  <si>
    <t>Verificar si las ventanas horarias son posibles de cumplir en base al tamaño de las entregas y a las restricciones del modelo actual de entrega</t>
  </si>
  <si>
    <t>Si la información de la ventana horaria surge de un sistema y está disponible para el equipo de ruteo.</t>
  </si>
  <si>
    <t>3.13.4</t>
  </si>
  <si>
    <t xml:space="preserve">Planificación Semanal con Ventas – Acuerdos Internos </t>
  </si>
  <si>
    <t>9.1.2</t>
  </si>
  <si>
    <t>9.2.2</t>
  </si>
  <si>
    <t>9.2.3</t>
  </si>
  <si>
    <t>9.6.1</t>
  </si>
  <si>
    <t xml:space="preserve">Introducción a la Mejora Continúa </t>
  </si>
  <si>
    <t>El distribuidor premia de acuerdo al cumplimiento de objetivos individuales y el empleado tiene conocimiento de este incentivo (bono de desempeño)</t>
  </si>
  <si>
    <t>3.19.2</t>
  </si>
  <si>
    <t>Seguridad Externa</t>
  </si>
  <si>
    <t>Capacitación y desarrollo de los RH</t>
  </si>
  <si>
    <t>Organización del Layout</t>
  </si>
  <si>
    <t>Identificación</t>
  </si>
  <si>
    <t>Asignación de Consolidados</t>
  </si>
  <si>
    <t>Rutina de reuniones y seguimiento de indicadores</t>
  </si>
  <si>
    <t>Comentarios Evaluación</t>
  </si>
  <si>
    <t>Total</t>
  </si>
  <si>
    <t>Módulo</t>
  </si>
  <si>
    <t>Buena Práctica Logística</t>
  </si>
  <si>
    <t/>
  </si>
  <si>
    <t>1.1.3</t>
  </si>
  <si>
    <t>1.1.4</t>
  </si>
  <si>
    <t>1.1.5</t>
  </si>
  <si>
    <t>Permisos y Habilitaciones</t>
  </si>
  <si>
    <t>Cumplimiento de Resoluciones H&amp;S</t>
  </si>
  <si>
    <t>Planos de edificio habilitados por autoridad competente</t>
  </si>
  <si>
    <t>Cuenta con un profesional de H&amp;S  y sus funciones son realización de las evaluaciones, planes de trabajo y capacitación</t>
  </si>
  <si>
    <t xml:space="preserve">El distribuidor cuenta con servicio Médico </t>
  </si>
  <si>
    <t>ART (Horas de servicio Médico, análisis médicos pre-ocupacionales y periódicos)</t>
  </si>
  <si>
    <t>Están los principales riesgos identificados basandose en las 9 causas de accidentes consideradas de mayor significación por Grupo Arcor (ver PG-MHP02-9900-00001-2010)</t>
  </si>
  <si>
    <t>A cada riesgo identificado,  se le asoció que EPPs o procedimiento se debe utilizar para reducir la exposición o disminuir su impacto</t>
  </si>
  <si>
    <t>1.5.1</t>
  </si>
  <si>
    <t>1.5.2</t>
  </si>
  <si>
    <t xml:space="preserve">Se clasifican y llevan estadísticas que permitan medir tendencias </t>
  </si>
  <si>
    <t>1.5.3</t>
  </si>
  <si>
    <t>Indicador de accidentabilidad de transporte</t>
  </si>
  <si>
    <t>1.6.1</t>
  </si>
  <si>
    <t>1.6.2</t>
  </si>
  <si>
    <t>1.6.3</t>
  </si>
  <si>
    <t>1.6.4</t>
  </si>
  <si>
    <t>1.7.1</t>
  </si>
  <si>
    <t>Cuentan  con un plan de capacitación y entrenamiento, en relación a los riesgos identificados por puesto y  de los procedimientos de seguridad establecidos.</t>
  </si>
  <si>
    <t>1.7.2</t>
  </si>
  <si>
    <t>El establecimiento cuenta con un procedimiento para trabajos en altura y el personal se encuentra capacitado</t>
  </si>
  <si>
    <t>El establecimiento cuenta con un procedimiento de trabajo en caliente y el personal esta capacitado</t>
  </si>
  <si>
    <t>1.8.1</t>
  </si>
  <si>
    <t>El establecimiento cuenta con medidas para prevenir la interacción de Hombre – Máquina</t>
  </si>
  <si>
    <t>1.8.2</t>
  </si>
  <si>
    <t>Cuentan con demarcaciones de circulación para evitar el riesgo de atropellos por vehículo. (Ej: Sendas Peatonales, Cruces Peligrosos)</t>
  </si>
  <si>
    <t>1.9.1</t>
  </si>
  <si>
    <t>1.9.2</t>
  </si>
  <si>
    <t xml:space="preserve">Zona de carga de combustible (si aplica). En caso de existir surtidores la misma está habilitada por la secretaría de energía, Cuenta con las auditorías y con un plan de acción sobre los desvíos.  </t>
  </si>
  <si>
    <t>1.9.3</t>
  </si>
  <si>
    <t>1.9.4</t>
  </si>
  <si>
    <t>Cuenta con Cámaras de Temperatura Controladas segregadas o separada del Edificio</t>
  </si>
  <si>
    <t>1.9.5</t>
  </si>
  <si>
    <t>Están los cables eléctricos canalizados sin estar en contacto con la panelería.</t>
  </si>
  <si>
    <t>1.9.6</t>
  </si>
  <si>
    <t>Cuenta con Sistema de Iluminacion colgante, separado de la paneleria en caso de aplicar.</t>
  </si>
  <si>
    <t>1.9.7</t>
  </si>
  <si>
    <t xml:space="preserve">Evitar artefactos con balasto ( sistemas capacitivos) en contacto con la panelería. </t>
  </si>
  <si>
    <t>1.9.8</t>
  </si>
  <si>
    <t>Los paneles están libres de golpes y roturas que exponga el material de relleno combustible ( poliuretano y/o tergopol).</t>
  </si>
  <si>
    <t xml:space="preserve">Todo elemento capaz de producir una fuente de ignición debe estar separado del panel ( baterías, tableros, motores, etc). </t>
  </si>
  <si>
    <t xml:space="preserve">No deben existir cañerías de gas natural o licuado en contacto con la cámara.  </t>
  </si>
  <si>
    <t>1.10.1</t>
  </si>
  <si>
    <t>1.10.2</t>
  </si>
  <si>
    <t>Se realizan mediciones a puesta a tierra y continuidad. Res 911</t>
  </si>
  <si>
    <t>1.10.3</t>
  </si>
  <si>
    <t>Se realizan termografías a tableros y cableados de potencia.</t>
  </si>
  <si>
    <t>1.10.4</t>
  </si>
  <si>
    <t>El distribuidor cuenta con protección para descargas atmosféricas.</t>
  </si>
  <si>
    <t>1.10.5</t>
  </si>
  <si>
    <t xml:space="preserve">Se cuenta con banco de capacitores para corrección de potencia. Si es correcto lo mismo están bajo rutina de mantenimiento. Están dentro de su periodo de vida útil. </t>
  </si>
  <si>
    <t>1.10.6</t>
  </si>
  <si>
    <t>Se encuentra el interior de los tableros electricos libres de materiales extranos, cerrados con candado, bajo llave para evitar contactato directo con elementos de tension.</t>
  </si>
  <si>
    <t xml:space="preserve">Se encuentra la iluminaria separadas de los materiales almacenados, no hay riesgo que el material encendido caiga sobre materiales combustibles. </t>
  </si>
  <si>
    <t>1.11.1</t>
  </si>
  <si>
    <t>1.11.2</t>
  </si>
  <si>
    <t>Se cuenta con una brigada de emergencia con un plan de capacitación adecuado</t>
  </si>
  <si>
    <t>1.11.3</t>
  </si>
  <si>
    <t xml:space="preserve">Manejo de los sistemas de combate de incendio ( extintores, hidrantes, etc) </t>
  </si>
  <si>
    <t>1.11.4</t>
  </si>
  <si>
    <t>El personal de logística cuenta con un botiquín adecuado a las tareas en su depósito y flota. Se realizan chequeos periódicos que garanticen el estado de los botiquines</t>
  </si>
  <si>
    <t>Se realizan capacitaciones específicas en temas de Salud y Seguridad, especialmente Primeros Auxilios, RCP y Protocolos de Emergencia (Incendios, derrumbes, inundaciones, apagones etc.), Manejo Seguro, etc.</t>
  </si>
  <si>
    <t xml:space="preserve">Los vehículos cuentan con un sistema monitoreo satelital; y se realiza un seguimiento de la forma de manejo, considerando aspectos como velocidad, maniobras bruscas, frenados de emergencia, conductor al volante, etc. </t>
  </si>
  <si>
    <t>Evaluacion de Riesgo y Plan de Gestion</t>
  </si>
  <si>
    <t>Gestion de las Personas</t>
  </si>
  <si>
    <t>Gestion del Comportamiento</t>
  </si>
  <si>
    <t>Capacitacion y Entrenamiento</t>
  </si>
  <si>
    <t>Interaccion Hombre-Maquina</t>
  </si>
  <si>
    <t>Instalaciones y Equipos</t>
  </si>
  <si>
    <t>Conexiones Electricas y Tableros</t>
  </si>
  <si>
    <t>Emergencias</t>
  </si>
  <si>
    <t>Riesgos Durante la Entrega</t>
  </si>
  <si>
    <t>1.5</t>
  </si>
  <si>
    <t>1.6</t>
  </si>
  <si>
    <t>1.7</t>
  </si>
  <si>
    <t>1.8</t>
  </si>
  <si>
    <t>1.9</t>
  </si>
  <si>
    <t>1.10</t>
  </si>
  <si>
    <t>1.11</t>
  </si>
  <si>
    <t>La temperatura de los productos refrigerados se encuentra comprendida entre  15°C y 25°C y se garantiza mediante registros</t>
  </si>
  <si>
    <t>Existe un registro de contrastación y/o calibración de termómetros que garantice el correcto funcionamiento (verificar aplicación de estandar de calibración de termohigrómetros)</t>
  </si>
  <si>
    <t>Se tienen en cuenta y se controlan las condiciones de carga de los distintos productos: apilabilidad, peso, volumen, fragilidad, condiciones de temperatura (refrigerados o congelado según Maestro Artículos)</t>
  </si>
  <si>
    <t>Se cuenta con un procedimiento para evitar el decomiso, a través de donaciones, de productos que, siendo no aptos para la comercialización, son aptos para consumo (productos con vencimiento próximo, productos con empaques dañados, entre otros).</t>
  </si>
  <si>
    <t>El predio del distribuidor es un predio Cerrado, o se encuentra en Zona Industrial o Logistica.</t>
  </si>
  <si>
    <t>Se encuentra en un Zona Segura, con vigilancia de fuerzas publicas o privadas</t>
  </si>
  <si>
    <t>Perimetro provisto con iluminacion publica o propia</t>
  </si>
  <si>
    <t>3.3.5</t>
  </si>
  <si>
    <t>Cuenta con Sistema de Alarmas en depósito y oficinas</t>
  </si>
  <si>
    <t>Cuenta con Cámaras de Video en distintos sectores, con grabación y registro</t>
  </si>
  <si>
    <t>Cuenta con Techo aislado y/o revestido, bien conservado</t>
  </si>
  <si>
    <t>3.7.3</t>
  </si>
  <si>
    <t>Las luminarias y aberturas de vidrio están protegidas ante estallidos. En caso de rotura de luminaria u otro material astillable se activa la política de gestión de vidrio</t>
  </si>
  <si>
    <t>3.8.7</t>
  </si>
  <si>
    <t>Se utilizan lámparas de bajo consumo o LED en los artefactos de iluminación.</t>
  </si>
  <si>
    <t>3.8.8</t>
  </si>
  <si>
    <t>Cuenta con paneles de energía solar u otro tipo de fuentes de energía renovable, aunque sólo cubran un porcentaje de su demanda de energía eléctrica.</t>
  </si>
  <si>
    <t>3.9.3</t>
  </si>
  <si>
    <t>Cuenta con un sistema de recolección de agua de lluvia para reutilizar el agua en otras actividades (Ejemplo: riego, lavado de vehículos, etc.)</t>
  </si>
  <si>
    <t>3.10.4</t>
  </si>
  <si>
    <t>3.12.4</t>
  </si>
  <si>
    <t>La/s Cámara/s de Congelado/s cuentan con alarmas sonoras u otro tipo de alertas en caso de que puedan quedar puertas abiertas durante un determinado período de tiempo.</t>
  </si>
  <si>
    <t>3.14.3</t>
  </si>
  <si>
    <t xml:space="preserve">El Generador Electríco funciona con gas natural o biogas, asegurando menos nivel de emisiones de Gases de Efecto Invernadero (GEI). </t>
  </si>
  <si>
    <t>3.16.4</t>
  </si>
  <si>
    <t>Existen lineamientos formales asociados con el uso responsable del equipamiento y la seguridad informática. Se capacita al personal en el tema, y se implementan medidas tecnológicas para resguardar información de carácter confidencial.</t>
  </si>
  <si>
    <t>3.16.5</t>
  </si>
  <si>
    <t xml:space="preserve">Se implementan buenas prácticas de informática para promover la disminución en el uso de papel e impresiones (Ejemplo: impresión en doble faz y reutilización de hojas); y se prioriza la digitalización en aquellos procesos y actividades en donde resulte posible. </t>
  </si>
  <si>
    <t>3.16.6</t>
  </si>
  <si>
    <t>Los vehiculos se guardan en sectores seguros y aislados de la mercadería</t>
  </si>
  <si>
    <t>Se realizan actividades de capacitación en Manejo Responsable a todos los conductores de vehículos propios y/o tercerizados (Ejemplo: a través de capacitaciones presenciales en la distribuidora o por medio de recursos específicos como videos o cursos on-line).</t>
  </si>
  <si>
    <t>Los vehículos están equipados con señalización informativa que proporciona un canal para recibir quejas, reclamos o sugerencias con respecto a la forma de conducción y a otros problemas relacionados con el uso del vehículo en la vía pública y el transporte de mercancías.</t>
  </si>
  <si>
    <t xml:space="preserve">Existen cestos específicos para promover la separación en origen de los distintos tipos de residuos; y se cuenta con cartelería que orienta los criterios de diferenciación. </t>
  </si>
  <si>
    <t xml:space="preserve">El establecimiento tiene un plan de Gestión para sus residuos donde identifique los distintos tipos de residuos y de donde provienen, se cuantifiquen y se identifique su disposición final. </t>
  </si>
  <si>
    <t>El establecimiento cuenta con un procedimiento de separación en origen de sus residuos</t>
  </si>
  <si>
    <t>Predio, Accesibilidad y Circulacion</t>
  </si>
  <si>
    <t>Desagües</t>
  </si>
  <si>
    <t>Gestión de Residuos</t>
  </si>
  <si>
    <t>La Distribuidora cuenta con un documento formalizado y comunicado que incluye Misión, Visión y Valores.</t>
  </si>
  <si>
    <t>Misión, Visión y Valores de la Distribuidora presentan a la sustentabilidad como un modelo de gestión estratégico para la competitividad del negocio.</t>
  </si>
  <si>
    <t>Dispone de una Política de Sustentabilidad formalizada y comunicada.</t>
  </si>
  <si>
    <t xml:space="preserve">Cuenta con un Código de Ética y Conducta formalizado y comunicado al personal de todos los niveles de la empresa. El mismo se encuentra alineado con la ultima versión del Código de Ética y Conducta del Grupo Arcor. </t>
  </si>
  <si>
    <t>Los organigrama y la estructura del distribuidor se encuentran comunicados</t>
  </si>
  <si>
    <t>4.2.3</t>
  </si>
  <si>
    <t>4.2.4</t>
  </si>
  <si>
    <t>Ante la vacante de un puesto, prioriza a sus empleados en igualdad de condiciones con los postulantes externos.</t>
  </si>
  <si>
    <t xml:space="preserve">Se ofrecen beneficios adicionales a los establecidos por ley, para que colaboradores puedan acceder a servicios de apoyo escolar, guardería, deportes, esparcimiento, descuentos en productos y/o prestaciones de servicios, etc.  </t>
  </si>
  <si>
    <t xml:space="preserve">Se ofrecen beneficios adicionales que se extienden a la familia del colaborador (Ejemplo: campañas de prevención de enfermedades, campañas de vacunación, formación en manejo seguro, deporte, esparcimiento, etc.) </t>
  </si>
  <si>
    <t>La Distribuidora tiene prácticas que contrinuyen al equilibrio vida laboral y familiar/personal (Ejemplo: día libre por cumpleaños, días con horarios flexible, permisos especiales para trámites o actividades familiares/escolares que requieren de su atención, etc.)</t>
  </si>
  <si>
    <t xml:space="preserve">Incentiva y acompaña al personal para alcanzar la terminalidad educativa, y para obtener otras graduaciones o lograr otros objetivos educacionales. </t>
  </si>
  <si>
    <t xml:space="preserve">Incentiva y acompaña a sus colaboradores para que realicen cursos de capacitación internos o externos, a pesar de que puedan exeder lo necesario para el desarrollo de su puesto de trabajo o funciones específicas. </t>
  </si>
  <si>
    <t>4.8.1</t>
  </si>
  <si>
    <t>4.8.2</t>
  </si>
  <si>
    <t>Gobernanza
(Ética y Cultura)</t>
  </si>
  <si>
    <t>4.8</t>
  </si>
  <si>
    <t>6.10.3</t>
  </si>
  <si>
    <t xml:space="preserve">Planificación de Compras </t>
  </si>
  <si>
    <t>El distribuidor tiene zonas definidas para la descarga</t>
  </si>
  <si>
    <t>7.3.2</t>
  </si>
  <si>
    <t>Mercadería en el sector correspondiente, identificada y controlada</t>
  </si>
  <si>
    <t>7.7.1</t>
  </si>
  <si>
    <t>7.7.2</t>
  </si>
  <si>
    <t>7.7.3</t>
  </si>
  <si>
    <t>7.7.4</t>
  </si>
  <si>
    <t>7.7.5</t>
  </si>
  <si>
    <t>7.7.6</t>
  </si>
  <si>
    <t>7.7.7</t>
  </si>
  <si>
    <t>7.7.8</t>
  </si>
  <si>
    <t>7.7.9</t>
  </si>
  <si>
    <t>7.7.10</t>
  </si>
  <si>
    <t>7.7.11</t>
  </si>
  <si>
    <t>7.7</t>
  </si>
  <si>
    <t>Llevan un seguimiento de Diferencia de Inventario</t>
  </si>
  <si>
    <t>Llevan un seguimiento de Costo de Flete</t>
  </si>
  <si>
    <t>Llevan un seguimiento del Costo Operativo del Deposito</t>
  </si>
  <si>
    <t>Llevan el indicador de Productividad Global</t>
  </si>
  <si>
    <t>Llevan un Seguimiento de Rechazos (cantidad)</t>
  </si>
  <si>
    <t>8.2.3</t>
  </si>
  <si>
    <t>Llevan un Seguimiento de Devoluciones</t>
  </si>
  <si>
    <t>8.2.4</t>
  </si>
  <si>
    <t>8.2.5</t>
  </si>
  <si>
    <t>8.2.6</t>
  </si>
  <si>
    <t>8.2.8</t>
  </si>
  <si>
    <t>Se cuenta con indicadores de accidentabilidad</t>
  </si>
  <si>
    <t>8.3.3</t>
  </si>
  <si>
    <t>8.3.4</t>
  </si>
  <si>
    <t xml:space="preserve">Se mide el volumen de residuos generados, considerando distintos tipos y materiales.  </t>
  </si>
  <si>
    <t>8.3.5</t>
  </si>
  <si>
    <t>Se cuenta con un inventario de emisiones de gases de efecto invernadero (GEI) que considera por lo menos los Alcances 1 y 2.</t>
  </si>
  <si>
    <t>8.3.6</t>
  </si>
  <si>
    <t xml:space="preserve">Se mide la cantidad total de horas de capacitación general ofrecidas al personal. Se lleva un registro de temas / horas abordados. </t>
  </si>
  <si>
    <t>8.3.7</t>
  </si>
  <si>
    <t>Se cuenta con indicadores que demuestren la proporción existente en términos de diversidad de género e inclusión social (discapacidad, mayores de 45 años, mujeres en situación de vulnerabilidad, jóvenes con primeras experiencias laborales, etc.).</t>
  </si>
  <si>
    <t>8.4.2</t>
  </si>
  <si>
    <t>Existe cartelería informativa en el sector (Ejemplo: novedades, indicadores, vacaciones, lanzamientos, información relacionada a la operación del depósito, seguridad, sustentabilidad, etc.)</t>
  </si>
  <si>
    <t>8.4.3</t>
  </si>
  <si>
    <t>El distribuidor hace uso de diferentes soportes, formatos y canales de comunicación (Ejemplo: WhatsApp, intranet, mails, reuniones, etc.) para compartir información de interés para los colaboradores, y para influir positivamente con mensajes y contenidos dirigidos a su sensibilización, concientización y capacitación con relación a diferentes temáticas.</t>
  </si>
  <si>
    <t>8.5.2</t>
  </si>
  <si>
    <t>8.6.3</t>
  </si>
  <si>
    <t>8.6.4</t>
  </si>
  <si>
    <t>Indicadores - Financieros</t>
  </si>
  <si>
    <t>Indicadores - Procesos Logísticos</t>
  </si>
  <si>
    <t>Indicadores - Sustentabilidad &amp; MAHPI</t>
  </si>
  <si>
    <t>GESTION DE PROVEEDORES</t>
  </si>
  <si>
    <t>RELACIONES Y DESARROLLO DE LA COMUNIDAD</t>
  </si>
  <si>
    <t>GESTION AMBIENTAL</t>
  </si>
  <si>
    <t xml:space="preserve">Para la selección de proveedores, además de variables económicas y de calidad, se consideran criterios sociales y ambientales a los fines de identificar riesgos y oportunidades (Ejemplo: que garanticen estar libres de trabajo infantil o forzoso, brindar condiciones laborales dignas, inclusión social, gestión de sus impactos ambientales, etc.) </t>
  </si>
  <si>
    <t>Existe un área o persona responsable a cargo del contacto con vecinos cercanos a la Distribuidora para dialogar sobre los impactos de sus actividades.</t>
  </si>
  <si>
    <t>12.1.3</t>
  </si>
  <si>
    <t>12.1.5</t>
  </si>
  <si>
    <t>12.1.6</t>
  </si>
  <si>
    <t>La totalidad de los elementos eléctricos se selecciónan con criterio de eficiencia energética, garantizado con "etiqueta de eficiencia energética" (Clase A, A+, A++ ó A+++)</t>
  </si>
  <si>
    <t>Se definen metas para la reducción de emisiones de Gases de Efecto Invernadero (GEI).</t>
  </si>
  <si>
    <t>Se definen metas para la reducción en el volumen de residuos enviados a enterramiento o decomiso (incluyendo devoluciones) y/o de los residuos totales generados.</t>
  </si>
  <si>
    <t>Cumplimiento y Gestión de Riesgos con Proveedores</t>
  </si>
  <si>
    <t>Abastecimiento con Criterios de Sustentabilidad</t>
  </si>
  <si>
    <t>Gestión de Impactos 
de la Operación en
la Comunidad</t>
  </si>
  <si>
    <t>Involucramiento y Desarrollo de la Comunidad</t>
  </si>
  <si>
    <t>Gestión Ambiental</t>
  </si>
  <si>
    <t>13.1.1</t>
  </si>
  <si>
    <t>La Distribuidora cuenta con un plan donde se establecen objetivos y metas que permiten identificar y medir sus compromisos de sustentabilidad</t>
  </si>
  <si>
    <t>13.1.2</t>
  </si>
  <si>
    <t>13.1.3</t>
  </si>
  <si>
    <t>13.1.4</t>
  </si>
  <si>
    <t>13.1.5</t>
  </si>
  <si>
    <t>13.1.6</t>
  </si>
  <si>
    <t>13.2.1</t>
  </si>
  <si>
    <t>13.2.2</t>
  </si>
  <si>
    <t>13.2.3</t>
  </si>
  <si>
    <t>13.2.4</t>
  </si>
  <si>
    <t>Se han establecido mecanismos, como reuniones, comités y/o comunicaciones específicas, para informar e involucrar a líderes y equipos de distintas áreas de la Distribuidora en la gestión de los desafíos relacionados con la sustentabilidad.</t>
  </si>
  <si>
    <t>13.1</t>
  </si>
  <si>
    <t>13.2</t>
  </si>
  <si>
    <t>14.1.1</t>
  </si>
  <si>
    <t>Se realiza reuniones de equipo nivel gerencial, se discuten indicadores versus plan y se buscan mejoras (incluyendo seguimiento de indicadores de sustentabilidad).</t>
  </si>
  <si>
    <t>14.1.2</t>
  </si>
  <si>
    <t>14.1.3</t>
  </si>
  <si>
    <t>14.2.1</t>
  </si>
  <si>
    <t>14.2.2</t>
  </si>
  <si>
    <t>14.1</t>
  </si>
  <si>
    <t>14.2</t>
  </si>
  <si>
    <t>14.3</t>
  </si>
  <si>
    <t>Foco</t>
  </si>
  <si>
    <t>Cuenta con el Procedimiento Proceso de Control de hojas de ruta y carga de pedidos</t>
  </si>
  <si>
    <t>7.7.12</t>
  </si>
  <si>
    <t>MAHPI</t>
  </si>
  <si>
    <t>CRITICO.13</t>
  </si>
  <si>
    <t>CRITICO.12</t>
  </si>
  <si>
    <t>CRITICO.11</t>
  </si>
  <si>
    <t>CRITICO.10</t>
  </si>
  <si>
    <t>CRITICO.9</t>
  </si>
  <si>
    <t>CRITICO.8</t>
  </si>
  <si>
    <t>7.7.13</t>
  </si>
  <si>
    <t>CRITICO.7</t>
  </si>
  <si>
    <t>CRITICO.6</t>
  </si>
  <si>
    <t>CRITICO.5</t>
  </si>
  <si>
    <t>CRITICO.4</t>
  </si>
  <si>
    <t>CRITICO.3</t>
  </si>
  <si>
    <t>CRITICO.2</t>
  </si>
  <si>
    <t>CRITICO.1</t>
  </si>
  <si>
    <t>Zoom</t>
  </si>
  <si>
    <t>QA</t>
  </si>
  <si>
    <t>SUST</t>
  </si>
  <si>
    <t>Habilitación de negocios Municipal (Verificar vencimiento)</t>
  </si>
  <si>
    <t>Planos eléctricos e instalaciones habilitados de acuerdo a normativa (firma de profesional habilitado)</t>
  </si>
  <si>
    <t>Habilitación de Secretaría de energía (si aplica)</t>
  </si>
  <si>
    <t>Se registran los errores y usuarios para mejorar el proceso en el armado de pedido</t>
  </si>
  <si>
    <t>Se registran los errores y usuarios para mejorar el proceso de consolidado</t>
  </si>
  <si>
    <t>Registro de motivos para posterior análisis y mejora del proceso de rechazos</t>
  </si>
  <si>
    <t>Accion</t>
  </si>
  <si>
    <t>Status</t>
  </si>
  <si>
    <t>Observaciones</t>
  </si>
  <si>
    <t>Responsable</t>
  </si>
  <si>
    <t>PROGRESO</t>
  </si>
  <si>
    <t>Fecha Inicio</t>
  </si>
  <si>
    <t>Fecha Fin</t>
  </si>
  <si>
    <t>FECHA DE REVISION</t>
  </si>
  <si>
    <t>COMPLETO</t>
  </si>
  <si>
    <t>DEMORADO</t>
  </si>
  <si>
    <t>EN CURSO</t>
  </si>
  <si>
    <t>TOTAL</t>
  </si>
  <si>
    <t>VACIO</t>
  </si>
  <si>
    <t xml:space="preserve">Cuenta con equipos de manipulación eléctricos o manuales (priorizando los eléctricos por cuestiones ergonómicas), evitando los equipos de combustión interna, para minimizar las emisiones de gases de efecto invernadero que afectan la salud y el ambiente. </t>
  </si>
  <si>
    <t>Se verifica con frecuencia mensual el estado, funcionamiento y mantenimiento de los vehículos considerando desgaste y presión de cubiertas, elementos y sistemas de seguridad, cambios y disposición final de aceites, filtros, baterías, etc.</t>
  </si>
  <si>
    <t xml:space="preserve">Incorpora buenas prácticas e incentiva hábitos de vida saludables y de bienestar como: pausas activas, consumo de alimentos y bebidas beneficiosas para la salud, capacitaciones con nutricionistas y especialistas, etc. </t>
  </si>
  <si>
    <t>Se mide el consumo de energia y lleva un registro mensual (con apertura de cantidad de energía renovable en caso de que aplique).</t>
  </si>
  <si>
    <t>8.2.9</t>
  </si>
  <si>
    <t xml:space="preserve">Las aberturas cuentan con doble vidrio, burletes o disponen de materiales que contribuyen a la eficiencia energética. </t>
  </si>
  <si>
    <t>Los productos químicos se almacenan en lugares cerrados (armarios o gabinetes) bajo llave, rotulados correctamente.</t>
  </si>
  <si>
    <t>1.3.1</t>
  </si>
  <si>
    <t>1.3.2</t>
  </si>
  <si>
    <t>1.4.3</t>
  </si>
  <si>
    <t>1.5.4</t>
  </si>
  <si>
    <t>1.8.3</t>
  </si>
  <si>
    <t>1.8.4</t>
  </si>
  <si>
    <t>1.8.5</t>
  </si>
  <si>
    <t>1.8.6</t>
  </si>
  <si>
    <t>1.8.7</t>
  </si>
  <si>
    <t>1.8.8</t>
  </si>
  <si>
    <t>1.8.9</t>
  </si>
  <si>
    <t>1.8.10</t>
  </si>
  <si>
    <t>2.2.13</t>
  </si>
  <si>
    <t>2.3.9</t>
  </si>
  <si>
    <t>2.3.10</t>
  </si>
  <si>
    <t>2.4.1</t>
  </si>
  <si>
    <t>2.4.2</t>
  </si>
  <si>
    <t>2.4.3</t>
  </si>
  <si>
    <t>2.4.4</t>
  </si>
  <si>
    <t>2.4.5</t>
  </si>
  <si>
    <t>2.4.6</t>
  </si>
  <si>
    <t>3.8.6</t>
  </si>
  <si>
    <t>3.11.2</t>
  </si>
  <si>
    <t>3.11.3</t>
  </si>
  <si>
    <t>4.5.3</t>
  </si>
  <si>
    <t>4.5.4</t>
  </si>
  <si>
    <t>4.8.3</t>
  </si>
  <si>
    <t>4.8.4</t>
  </si>
  <si>
    <t>4.9.1</t>
  </si>
  <si>
    <t>4.9.2</t>
  </si>
  <si>
    <t>8.3.2</t>
  </si>
  <si>
    <t>4.9</t>
  </si>
  <si>
    <t>3.18.2</t>
  </si>
  <si>
    <t>3.18.3</t>
  </si>
  <si>
    <t>3.18.4</t>
  </si>
  <si>
    <t>3.18.5</t>
  </si>
  <si>
    <t>3.20.3</t>
  </si>
  <si>
    <t>3.20.4</t>
  </si>
  <si>
    <t>3.20.5</t>
  </si>
  <si>
    <t>6.12.2</t>
  </si>
  <si>
    <t>12.1.2</t>
  </si>
  <si>
    <t>12.1.4</t>
  </si>
  <si>
    <t>Brinda capacitaciones sobre riesgo para la salud del personal con relación a temas como: obesidad, tabaquismo, consumo de alcohol y drogas, estrés excesivo, ludopatías, etc. y para asegurar un abordaje adecuado.</t>
  </si>
  <si>
    <t>Cuenta con sensores de movimiento, temporizadores o aplicaciones programables (vía software, por ejemplo) para gestionar la iluminación y disminuir el consumo energético, tanto en el interior como en el exterior de la distribuidora.</t>
  </si>
  <si>
    <t>La totalidad de las aberturas para pases  debe estar sellada con material aislante no combustible.</t>
  </si>
  <si>
    <t>1.8.11</t>
  </si>
  <si>
    <t>El establecimiento posee equipos para prevención y protección contra incendios y demuestra un control de estos.</t>
  </si>
  <si>
    <t>Las instalaciones sanitarias tienen pulsadores de corte automático en bachas, mingitorios e inodoros acordes a lograr el menor consumo posible</t>
  </si>
  <si>
    <r>
      <t>Se cuenta con un Procedimiento de donaciones que incluya un </t>
    </r>
    <r>
      <rPr>
        <sz val="12"/>
        <color theme="1"/>
        <rFont val="Calibri"/>
        <family val="2"/>
        <scheme val="minor"/>
      </rPr>
      <t>Registro de los Productos Entregados como Donación (alimentos, recursos financieros, horas de personal, equipamiento, etc.)</t>
    </r>
  </si>
  <si>
    <r>
      <t xml:space="preserve">Existen contratos formales con proveedores en los que se exige el cumplimiento de la legislación aplicable de acuerdo con la actividad a llevar a cabo y se alinea con los </t>
    </r>
    <r>
      <rPr>
        <sz val="12"/>
        <color theme="1"/>
        <rFont val="Calibri"/>
        <family val="2"/>
        <scheme val="minor"/>
      </rPr>
      <t>Principios Fundamentales para una Gestión Responsible (Carta de Adhesion a Proveedores)</t>
    </r>
  </si>
  <si>
    <r>
      <t xml:space="preserve">El Distribuidor cuenta con un </t>
    </r>
    <r>
      <rPr>
        <sz val="12"/>
        <color theme="1"/>
        <rFont val="Calibri"/>
        <family val="2"/>
        <scheme val="minor"/>
      </rPr>
      <t>Plan de Trabajo orientado a acciones que contribuyan al desarrollo comunitario (ejemplo: contratación de mano de obra local, compras inclusivas, formación a la comunidad, etc.) </t>
    </r>
  </si>
  <si>
    <t>EV24</t>
  </si>
  <si>
    <r>
      <t xml:space="preserve">Cuenta con herramientas para registrar las roturas producidas </t>
    </r>
    <r>
      <rPr>
        <sz val="12"/>
        <color theme="1"/>
        <rFont val="Calibri"/>
        <family val="2"/>
        <scheme val="minor"/>
      </rPr>
      <t>en toda la cadena de suministro</t>
    </r>
  </si>
  <si>
    <r>
      <rPr>
        <sz val="12"/>
        <color theme="1"/>
        <rFont val="Calibri"/>
        <family val="2"/>
        <scheme val="minor"/>
      </rPr>
      <t>Cuenta con el Procedimiento para la Devolución a Planta de Productos NO APTOS y cumple con el estándar sugerido. Además cuenta con un Registro detallado de los productos de devolución, a fin de llevar un Indicador de Gestión de Devoluciones</t>
    </r>
  </si>
  <si>
    <r>
      <t>Los dispositivos de control de plagas</t>
    </r>
    <r>
      <rPr>
        <sz val="12"/>
        <color theme="1"/>
        <rFont val="Calibri"/>
        <family val="2"/>
        <scheme val="minor"/>
      </rPr>
      <t xml:space="preserve"> para roedores (cebaderas) están identificados, protegidos, fijos, razonablemente limpios, no obstruidos y en buenas condiciones para cumplir su función</t>
    </r>
  </si>
  <si>
    <r>
      <t xml:space="preserve">Se realiza </t>
    </r>
    <r>
      <rPr>
        <sz val="12"/>
        <color theme="1"/>
        <rFont val="Calibri"/>
        <family val="2"/>
        <scheme val="minor"/>
      </rPr>
      <t>monitoreo y control de insectos voladores con trampas UV. Los dispositivos de control de plagas están identificados, protegidos, fijos, razonablemente limpio.</t>
    </r>
  </si>
  <si>
    <r>
      <t xml:space="preserve">Se realiza monitoreo y control de gorgojos / carcoma / </t>
    </r>
    <r>
      <rPr>
        <sz val="12"/>
        <color theme="1"/>
        <rFont val="Calibri"/>
        <family val="2"/>
        <scheme val="minor"/>
      </rPr>
      <t>polillas con el uso adecuado de feromonas (nivel del suelo y cierta altura). Los dispositivos de control de plagas están identificados, protegidos, fijos, razonablemente limpio.</t>
    </r>
  </si>
  <si>
    <r>
      <t xml:space="preserve">Las políticas, procedimientos e infraestructura está alineado a los principios de Arcor bajo el </t>
    </r>
    <r>
      <rPr>
        <sz val="12"/>
        <color theme="1"/>
        <rFont val="Calibri"/>
        <family val="2"/>
        <scheme val="minor"/>
      </rPr>
      <t>Manual de Consideraciones Básicas para la Inclusión de Personas con Discapacidad.</t>
    </r>
  </si>
  <si>
    <r>
      <t xml:space="preserve">Los freezers y/o mobiliarios usados se encuentran en </t>
    </r>
    <r>
      <rPr>
        <sz val="12"/>
        <color theme="1"/>
        <rFont val="Calibri"/>
        <family val="2"/>
        <scheme val="minor"/>
      </rPr>
      <t>Condiciones de Higiene y Limpios. El Area de guarda cuenta con Control de Plagas correspondiente.</t>
    </r>
  </si>
  <si>
    <r>
      <t xml:space="preserve">El personal de logística cuenta con algún dispositivo de comunicación que permita contactarse al interior y exterior </t>
    </r>
    <r>
      <rPr>
        <sz val="12"/>
        <color theme="1"/>
        <rFont val="Calibri"/>
        <family val="2"/>
        <scheme val="minor"/>
      </rPr>
      <t>Provistos por la Distribuidora.</t>
    </r>
  </si>
  <si>
    <r>
      <rPr>
        <sz val="12"/>
        <color theme="1"/>
        <rFont val="Calibri"/>
        <family val="2"/>
        <scheme val="minor"/>
      </rPr>
      <t>Se mantienen acuerdos flexibles con organismos recicladores y/o proveedores que aseguren la correcta disposición de materiales como cartón, plástico y papel, y se lleva un registro actualizado con tipo y cantidad de material entregado. Actualizado de la cantidad de material de este tipo generado y puesto en sistemas de economia circular.</t>
    </r>
  </si>
  <si>
    <r>
      <t xml:space="preserve">Se evidencia el conocimiento y la aplicación de </t>
    </r>
    <r>
      <rPr>
        <sz val="12"/>
        <color theme="1"/>
        <rFont val="Calibri"/>
        <family val="2"/>
        <scheme val="minor"/>
      </rPr>
      <t>Buenas Prácticas de Manufactura, (ropa de trabajo en condiciones, está definida la zona donde se puede fumar o consumir alimentos y bebidas)</t>
    </r>
  </si>
  <si>
    <r>
      <t xml:space="preserve">Cuenta con políticas y prácticas alineadas a la </t>
    </r>
    <r>
      <rPr>
        <sz val="12"/>
        <color theme="1"/>
        <rFont val="Calibri"/>
        <family val="2"/>
        <scheme val="minor"/>
      </rPr>
      <t>Política de Promoción de los Derechos Humanos de Grupo Arcor.</t>
    </r>
  </si>
  <si>
    <t>EV25</t>
  </si>
  <si>
    <t>AE 25</t>
  </si>
  <si>
    <t>Comentarios Evaluación 2024</t>
  </si>
  <si>
    <t>Ponderaciones 2025</t>
  </si>
  <si>
    <t>BPL</t>
  </si>
  <si>
    <t>Nivel</t>
  </si>
  <si>
    <t>Comp</t>
  </si>
  <si>
    <t>Programa</t>
  </si>
  <si>
    <t>EV 25</t>
  </si>
  <si>
    <t>EV 23</t>
  </si>
  <si>
    <t>EV 24</t>
  </si>
  <si>
    <t>Nivel 1</t>
  </si>
  <si>
    <t>Nivel 2</t>
  </si>
  <si>
    <t>Nivel 3</t>
  </si>
  <si>
    <t>Total Programa</t>
  </si>
  <si>
    <t>Categoria</t>
  </si>
  <si>
    <t># Critico</t>
  </si>
  <si>
    <t>Descripción</t>
  </si>
  <si>
    <t>Totales</t>
  </si>
  <si>
    <t>Cumplidas</t>
  </si>
  <si>
    <t>Evaluación del cumplimiento</t>
  </si>
  <si>
    <t>Condición 1: Tolerancia sobre el total de componentes</t>
  </si>
  <si>
    <t>Condición 2: 100% de cumplimiento de las Criticas de calidad</t>
  </si>
  <si>
    <t>Seguridad</t>
  </si>
  <si>
    <t>Calidad</t>
  </si>
  <si>
    <t>Org y Cultura</t>
  </si>
  <si>
    <t>Procesos Logisticos</t>
  </si>
  <si>
    <t>Proveedores</t>
  </si>
  <si>
    <t>Relaciones con la comunidad</t>
  </si>
  <si>
    <t>Planeamiento estrategico</t>
  </si>
  <si>
    <t>Gestion Ambiental</t>
  </si>
  <si>
    <t>Nivel Operacional</t>
  </si>
  <si>
    <t>Nivel Estandarización</t>
  </si>
  <si>
    <t>Nivel Mejora</t>
  </si>
  <si>
    <t>Planificación estratégica</t>
  </si>
  <si>
    <t>Operacional</t>
  </si>
  <si>
    <t>Estandarización</t>
  </si>
  <si>
    <t>Mejora</t>
  </si>
  <si>
    <t>Total ZOOM</t>
  </si>
  <si>
    <t># componentes Criticas</t>
  </si>
  <si>
    <t># componentes</t>
  </si>
  <si>
    <t>Infraestructura</t>
  </si>
  <si>
    <t>Nivel OPERACIONAL</t>
  </si>
  <si>
    <t>Nivel ESTANDARIZACIÓN</t>
  </si>
  <si>
    <t>Nivel MEJORA CONTINUA</t>
  </si>
  <si>
    <t>Condición 3 para PROACTIVOS: 100% de cumplimiento de las BLPs Criticas</t>
  </si>
  <si>
    <t>Calificación</t>
  </si>
  <si>
    <t>OK</t>
  </si>
  <si>
    <t>Habilitación de bomberos. Solicitar estudio de Carga de Fuego en caso de no aplicar la habilitación (tema municipal)</t>
  </si>
  <si>
    <t>ITVs de flota: el distribuidor evidencia documentación vigente, para vehículos propios y terceros</t>
  </si>
  <si>
    <t>1.2.5</t>
  </si>
  <si>
    <t>Cuenta con permiso de manejo para autoelevadores y equipo de manipuleo. Hace uso de las protecciones de seguridad correspondientes.</t>
  </si>
  <si>
    <t>Se cuenta con un Procedimiento documentado donde se detalla el proceso de reporte de accidentes</t>
  </si>
  <si>
    <t>Ejecutan Checklist de Seguridad diario: Checklist de preuso para equipo de manipuleo</t>
  </si>
  <si>
    <t>1.8.12</t>
  </si>
  <si>
    <t>Existe una política de remplazo de iluminación por LED. El Distribuidor presenta estudio de medición de iluminación en ambiente laboral</t>
  </si>
  <si>
    <t>Se cuenta con una evaluación de los principales escenarios de una emergencia, tiene definido un plan con roles específicos y comunicado el plan de evacuación</t>
  </si>
  <si>
    <t>¿Existe stock suficiente de EPPs para empleados, visitas y contratistas? Se realizan chequeos periódicos que garanticen el estado de los EPPs</t>
  </si>
  <si>
    <t>El establecimiento posee un plan de evaluación de riesgos en el momento de la entrega en sus PDVs (modalidad de entrega, matriz de riesgo, uso de EPPS)</t>
  </si>
  <si>
    <t>CRITICO.14</t>
  </si>
  <si>
    <t>La temperatura de los productos congelados se encuentra en -18°C  y -22°C y se garantiza mediante registros</t>
  </si>
  <si>
    <t>El lugar para almacenamiento de estos productos se encuentra separado del producto apto. El sector cuenta con Control de Plagas correspondiente.</t>
  </si>
  <si>
    <t>No hay evidencia de presencia de mascotas (perros,
gatos, etc.) y/o aves dentro del depósito.</t>
  </si>
  <si>
    <t>2.5</t>
  </si>
  <si>
    <t>Sector Embolsate</t>
  </si>
  <si>
    <t>2.5.1</t>
  </si>
  <si>
    <t>2.5.2</t>
  </si>
  <si>
    <t>2.5.3</t>
  </si>
  <si>
    <t>Cuenta con Acceso para circulacion de Semirremolques ( de 28 a 30 pallet)</t>
  </si>
  <si>
    <t>Entorno sin problemas de congestionamiento de tráfico, y no realiza descarga de mercadería en la vía pública</t>
  </si>
  <si>
    <t>Poseen alero  para la carga/descarga en condiciones climáticas desfavorables  y evita demoras de la unidad</t>
  </si>
  <si>
    <t>Calles y accesos en buen estado, sin pendientes y asfaltados.</t>
  </si>
  <si>
    <t>Cuenta con paredes revestidas, sin roturas, bien conservadas, que no permitan la acumulación de tierra y/o plagas</t>
  </si>
  <si>
    <t>CRITICO.15</t>
  </si>
  <si>
    <t xml:space="preserve">La/s Cámara/s de Refrigerado cuentan con puerta o cortina de PVC en buenas condiciones, y alertas en caso de que puedan quedar puertas abiertas durante un determinado período de tiempo. </t>
  </si>
  <si>
    <t xml:space="preserve"> Cuenta con un procedimiento o registros para el descarte de equipamiento electrónico (calculadoras, teléfonos celulares, tablet's, PC's, pantallas, impresoras, accesorios, etc.). Analiza la posibilidad de darlos en donación a entidades que pueden reutilizarlos; y sino, se asegura una disposición final responsable trabajando en alianza con empresas, organismos públicos u organizaciones especializadas para ello.</t>
  </si>
  <si>
    <t>Reutiliza la cajas de producto mientras se encuentran en buenas condiciones en la preparación de los pedidos o en otras necesidades de la empresa.</t>
  </si>
  <si>
    <t>Se auditan con frecuencia determinada los niveles de orden y limpieza alcanzados en Depósito. Se evidencia planilla de auditoría y análisis de resultados de los últimos 3 meses</t>
  </si>
  <si>
    <t>5.1.5</t>
  </si>
  <si>
    <t>Se auditan con frecuencia mensual los niveles de orden y limpieza alcanzados en Sector POP (orden + identificación + inventario y colocación de mobiliario en PDV)</t>
  </si>
  <si>
    <t>Se generan Planes de acción en base a los resultados de las Auditorías en todas las áreas. Verificar si se toman las acciones correctivas de los puntos levantados</t>
  </si>
  <si>
    <t>Está implementada cada una de las 5Ss en todas las áreas de la Distribuidora, se mantiene en el tiempo y es base para mejoras edilicias, de procesos y de clima laboral. Se evidencia el último año de Auditorías 5S, alcance de resultados (&gt;90%) y comunicaciones.</t>
  </si>
  <si>
    <t>Se realizan con una frecuencia definida, máxima trimestral, detallada en el Procedimiento de Gestión de Inventarios</t>
  </si>
  <si>
    <t>Cuenta con una estrategia de ruteo por sistema que minimiza los km recorridos y con ello el uso de combustible para la entrega de producto.</t>
  </si>
  <si>
    <t>Llevan un Seguimiento del indicador de Roturas, aperturado en Roturas dentro de depósito y en reparto</t>
  </si>
  <si>
    <t>Se cuenta con un archivo consolidado donde se mide y gestiona por unidad, el consumo de combustible, neumáticos, multas/infracciones, tacómetro.</t>
  </si>
  <si>
    <t>Se realiza reuniones en Depósito, una vez por semana. Se controla el presentismo y se siguen indicadores de desempeño (ej. Ausentismo, Accidentes, Productividad, 5S, Roturas)</t>
  </si>
  <si>
    <t>Se planifica y se documenta/registra el mantenimiento preventivo de la infraestructura (desagües, portones, racks, techos)</t>
  </si>
  <si>
    <t>Se planifica y se documenta/registra el mantenimiento preventivo del grupo electrógeno</t>
  </si>
  <si>
    <t>Se planifica y se documenta/registra el mantenimiento preventivos del equipamiento logístico de manipuleo</t>
  </si>
  <si>
    <t>Se planifica y se documenta/registra el mantenimiento preventivo de flota propia o chequeo de tercerizada</t>
  </si>
  <si>
    <t>Se realiza reuniones matinales de Entrega, una vez por semana. Se controla el presentismo y se siguen indicadores de desempeño (ej. Ausentismo, Accidentes, tiempo medio de liberación de camiones, Rechazo, Reclamos, Roturas)</t>
  </si>
  <si>
    <t>El Distribuidor cuenta con un canal y procedimiento documentado para Gestionar los Impactos Negativos que las actividades puedan causar en la comunidad próxima a la operación medido en los siguientes pasos: recepción del reclamo, evaluación y gestión del mismo (Ejemplo: aumento de circulación de vehículos, congestión de tráfico, emisiones, ruidos, volúmen y tipo de residuos, etc.).</t>
  </si>
  <si>
    <t>Se definen metas smart para la reducción del consumo de energía.</t>
  </si>
  <si>
    <t>Se definen metas smart para la reducción de consumo de combustible</t>
  </si>
  <si>
    <t>Mejora Continua</t>
  </si>
  <si>
    <t>Sugerencias de mejora</t>
  </si>
  <si>
    <t>CONTROL DE TEMPERATURAS</t>
  </si>
  <si>
    <t>INFRAESTRUCTURA - PISOS Y PAREDES</t>
  </si>
  <si>
    <t>AE25</t>
  </si>
  <si>
    <t>Llevan a cabo y existen registros del plan documentado de control de plaga propuesto por Arcor. Cuenta con visitas periódicas (mínimo mensual) de inspección por parte del proveedor, se entregan informes y se toman acciones en caso de registrar actividad.</t>
  </si>
  <si>
    <t>Controlan y poseen un registro de la temperatura con la que arriba la carga de Helados. Se da aviso y se toman acciones en caso de desvios.</t>
  </si>
  <si>
    <t>Controlan y poseen un registro de la temperatura con la que arriba la carga de Refrigerados. Se da aviso y se toman acciones en caso de desvios</t>
  </si>
  <si>
    <t>0 % &gt;= No Aplica &lt; 25 %</t>
  </si>
  <si>
    <t>85 % &gt;= Proactivo &lt;= 100 %</t>
  </si>
  <si>
    <t>70 % &gt;= Activo &lt; 85 %</t>
  </si>
  <si>
    <t>50 % &gt;= Reactivo &lt; 70 %</t>
  </si>
  <si>
    <t>25 % &gt;= Inactivo &lt; 50 %</t>
  </si>
  <si>
    <t>"SUST"</t>
  </si>
  <si>
    <t>Guia de Evidencia</t>
  </si>
  <si>
    <t>-</t>
  </si>
  <si>
    <t>Copia digital de Habilitación Municipal</t>
  </si>
  <si>
    <t>Copia digital de planos edilicios</t>
  </si>
  <si>
    <t>Copia digital de planos eléctricos</t>
  </si>
  <si>
    <t>Copia digital de Habilitación de bomberos.Solicitar estudio de Carga de Fuego en caso de no aplicar.</t>
  </si>
  <si>
    <t>Copia digital de Habilitación de Secretaría de
Energía o empresa que realizó la instalación</t>
  </si>
  <si>
    <t>Solicitar Nombre, apellido, telefono/mail  de contacto</t>
  </si>
  <si>
    <t>Copia digital de constancia de cobertura</t>
  </si>
  <si>
    <t>Copia digital de RTO y/o VTV. Listado de flota. Propia y terceros contratados</t>
  </si>
  <si>
    <r>
      <rPr>
        <sz val="11"/>
        <rFont val="Calibri"/>
        <family val="1"/>
      </rPr>
      <t>Copia digital de ultimo permiso de trabajo utilizado</t>
    </r>
    <r>
      <rPr>
        <sz val="11"/>
        <rFont val="Calibri"/>
        <family val="2"/>
      </rPr>
      <t xml:space="preserve"> para manejo de Autoelevador)</t>
    </r>
  </si>
  <si>
    <t>Excel detallando las 9 causas principales y el nivel de riesgo en el distribuidor. Areas, puestos de trabajo y tareas asociadas.</t>
  </si>
  <si>
    <t>Excel detallando todas las causas  y el nivel de riesgo en el distribuidor + medidas para reducir el riesgo (epp/procedimiento). Riesgo revisado luego de la medida</t>
  </si>
  <si>
    <r>
      <rPr>
        <sz val="11"/>
        <rFont val="Calibri"/>
        <family val="1"/>
      </rPr>
      <t>Procedimiento escrito. Flujograma</t>
    </r>
  </si>
  <si>
    <t>Excel o similar con estadísitcas de cantidad y tipo de accidentes</t>
  </si>
  <si>
    <t>Indicador implementado mayor a 1 mes de información</t>
  </si>
  <si>
    <t>Google form, Excel o registro físico. Verificar
fechas de los comportamientos. Al menos 10 registros</t>
  </si>
  <si>
    <t>Evidenciar Perfil de puestos con Objetivos concretos y cuantitativos.
cuentan) y que este alguno vinculado con Seguridad</t>
  </si>
  <si>
    <t>Pedir detalle. Tipo de riesgo de salud detectado y nro de personas vinculadas a cada riesgo/situación</t>
  </si>
  <si>
    <t>Ver cartelería en Sector Comedor y disponibilidad de productos (agua/frutas/cereales), disponer en caso que aplique cronograma de pausas activas</t>
  </si>
  <si>
    <t>Capacitación específica (ver plan anual de capacitaciones segregado por puesto) Detalle de Puesto  - riesgo asociado.</t>
  </si>
  <si>
    <t>Documento (ppt/form/video, etc) donde se presente la inducción de ingreso al establecimiento</t>
  </si>
  <si>
    <t>Procedimiento escrito. Detalle de quienes se capacitaron</t>
  </si>
  <si>
    <t xml:space="preserve">Distancias mínimas entre máquinas y peatones y barreras físicas/procedimientos claros para reducir exposición. Evaluar carga/descarga. Utilización de equipos de elevación. </t>
  </si>
  <si>
    <t>Verificar sendas y demarcaciones de cruces peligrosos</t>
  </si>
  <si>
    <t>Utilizar check para revisar estado general (punteras, estado de largueros, puntos de óxido). Estado de racks.</t>
  </si>
  <si>
    <t>Copia de permisos pertinentes. Ver riesgos del lugar de la instalación.</t>
  </si>
  <si>
    <t>Pedir Estudio de Carga de Fuego. Verificar cantidad de extintores sugeridos con los instalados.
Verificar vencimiento de los mismos (de carga y de prueba hidráulica) + planilla de seguimiento de recargas (incluido
autoelevadores/camiones de reparto)</t>
  </si>
  <si>
    <t>Corroborar en plano / layout</t>
  </si>
  <si>
    <t>Verificación visual. Conexiones eléctricas zona cámaras.</t>
  </si>
  <si>
    <t>Revisión visual de luminarias</t>
  </si>
  <si>
    <t>Averiguar si usan o no balastos. Si usan respetar distancia</t>
  </si>
  <si>
    <t>Verificar pases de caños</t>
  </si>
  <si>
    <t>Verificación visual. Fotos. Ver bordes, esquinas (golpeables con zorras/etc)</t>
  </si>
  <si>
    <t>Revisión visual de equipos dentro de las cámaras. Distancia: min. 20 cm. Ej. Aire acondi aprox 80 cm (&gt;2,1 KW - 3500 Frigorías)</t>
  </si>
  <si>
    <t>Verificar pases de caños (prohibido caños de gas)</t>
  </si>
  <si>
    <t>Ver registro de check list (verificar su uso y frecuencia)</t>
  </si>
  <si>
    <t>Revisión visual EXTERIOR del tablero. Calco de "Peligro". Candado/cerrado</t>
  </si>
  <si>
    <t>Verificar jabalina/s. Si hay sistema para prevención de descargas atmosféricas debería contar con al menos 2 puesta a tierra</t>
  </si>
  <si>
    <t>Foto de equipo tomando la termografía (3 puntos de control mínimo) Frecuencia Anual. Alguno debería ser dentro de las cámaras de
temperatura controlada</t>
  </si>
  <si>
    <t>Revisión visual de Jabalina separada + del equipamiento</t>
  </si>
  <si>
    <t>Revisión visual de estado de capacitores (buena definición de bornes). Fecha de instalación o recambio (aprox.). Atención si supera los 7 años (uso continuo). Tope 15 años</t>
  </si>
  <si>
    <t>Revisión visual del INTERIOR o constancia por foto. Exterior  Calco de "Peligro"/Ideal indicar personal autorizado. Foto Candado/cerrado</t>
  </si>
  <si>
    <t>Revisión visual distancia luminaria y productos. (luminaria centrada en los pasillos)</t>
  </si>
  <si>
    <t>Existe una política de remplazo de iluminación por LED. Presentar estudio de lumenes de toda las areas de la distribuidora.</t>
  </si>
  <si>
    <t>Existe plan de emergencia definido y formalizado para incendio, fuga de gas, derrames de combustible, asaltos y atentados con roles específicos designados a cada empleado, cómo se debe actuar y por dónde se debe evacuar?</t>
  </si>
  <si>
    <t>Detalle de constitución de Brigadas de
Emergencias. Roles.</t>
  </si>
  <si>
    <t>Fotos simulacro anual</t>
  </si>
  <si>
    <t>Foto botiquines (depósito y algunos de los camiones de reparto). Listado de Stock minimo. Faja de seguridad</t>
  </si>
  <si>
    <t>Ver de matriz de riesgos EPPs necesarios. Planilla de Stock de los mismos. Ver cantidad de operarios vs cantidad de disponible (+2/3
para visitas)</t>
  </si>
  <si>
    <t xml:space="preserve">Registro de firmas de personal presente </t>
  </si>
  <si>
    <t>Ver en matriz de riesgo general, tomar las consideraciones de modos de entrega, ergonomia, etc.</t>
  </si>
  <si>
    <t>Pedir detalles del sistema. Ver registros de manejo y que controla</t>
  </si>
  <si>
    <t>Ver registro - imagen - del ruteo. Calificación de zonas/rutas</t>
  </si>
  <si>
    <t>Registro de temperaturas Sector Secos con detalle por hora y promedio diario. Sin desvíos. Registro de los ultimos 12 meses. EN VERANO 2 MEDICIONES DIARIAS MINIMA.</t>
  </si>
  <si>
    <t>Registro de temperaturas Sector Refrigerado con detalle por hora y promedio diario. Sin desvíos. Registro de los ultimos 12 meses. EN VERANO 2 MEDICIONES DIARIAS MINIMA.</t>
  </si>
  <si>
    <t>Registro de temperaturas Sector Congelados con detalle por hora y promedio diario. Sin desvíos. Registro de los ultimos 12 meses</t>
  </si>
  <si>
    <t>Verificar que se posea un equipo "patrón". Verificar certificados de calibración vigentes (ambos equipos - instalados y patrón)</t>
  </si>
  <si>
    <t>Verificar sistema de alertas de los sensores</t>
  </si>
  <si>
    <t>Verifique checks de ingreso: Se controla que los productos cuenten con el
VENCIMIENTO en forma</t>
  </si>
  <si>
    <t>Verifique checks de ingreso: Se controla CANTIDAD y ESTADO</t>
  </si>
  <si>
    <t>Verifique checks de ingreso: Se controla/registra TEMPERATURA de arribo
(Helados). Verificar registros y ver si hubo desvios y si hubo ver avisos.</t>
  </si>
  <si>
    <r>
      <rPr>
        <sz val="11"/>
        <rFont val="Calibri"/>
        <family val="1"/>
      </rPr>
      <t>Verifique checks de ingreso: Se controla/registra TEMPERATURA de arribo
(Refrigerados)</t>
    </r>
    <r>
      <rPr>
        <sz val="12"/>
        <color theme="1"/>
        <rFont val="Calibri"/>
        <family val="2"/>
        <scheme val="minor"/>
      </rPr>
      <t>.  Verificar registros y ver si hubo desvios y si hubo ver avisos.</t>
    </r>
  </si>
  <si>
    <t>Almacenamiento: Revisión visual de productos. Deben contener las fechas de vencimiento visibles</t>
  </si>
  <si>
    <t>Revisión visual de productos. Verifique 45 cm de la pared. Estado general.</t>
  </si>
  <si>
    <t>Los productos que requieren acondicionamiento de temperatura (según Maestro de Artículos) se encuentran almacenados dentro de la cámara desde el momento de la recepción</t>
  </si>
  <si>
    <t>Revisión visual. Productos bañados, rellenos, alfajores, gomas (no todas) y barras (no todas).</t>
  </si>
  <si>
    <t>Revisión visual de pallets. Estado general.</t>
  </si>
  <si>
    <t>Revisión visual de 1 o 2 productos almacenados y en picking comparando las fechas de vencimiento</t>
  </si>
  <si>
    <t>Recorrido visual, externo e interno</t>
  </si>
  <si>
    <t>Revisión visual del producto almacenado y recorrida periférica.</t>
  </si>
  <si>
    <t>Transporte y reparto:
verifique apilabilidad, fragilidad, condiciones de temperatura (registros de temperatura previo a la</t>
  </si>
  <si>
    <t>Transporte y reparto: registros de temperatura previo a la carga y durante el reparto</t>
  </si>
  <si>
    <t>Transporte y reparto: Pedir las fotos de cada uno de los vehículos utilizados para el reparto. Cajas contenedoras sanitarias</t>
  </si>
  <si>
    <t>Transporte y reparto - Helados: foto indicador de temperatura en cabina</t>
  </si>
  <si>
    <t>Ver Registro de roturas</t>
  </si>
  <si>
    <t>Revisión visual de separación entre productos devueltos por el cliente que están aptos y no aptos.
Confirmar frecuencia y si se cuenta con procedimiento escrito</t>
  </si>
  <si>
    <t>Revisión visual del proceso</t>
  </si>
  <si>
    <t>Revisión visual. Delimitacion, carteleria, plagas</t>
  </si>
  <si>
    <r>
      <rPr>
        <sz val="11"/>
        <rFont val="Calibri"/>
        <family val="1"/>
      </rPr>
      <t>Revisión visual. Separación</t>
    </r>
  </si>
  <si>
    <t>Procedimiento de devolucion a planta. Registro de los ultimos 6 meses de las devoluciones a planta</t>
  </si>
  <si>
    <t>Procedimiento de donaciones estandarizado por escrito y divulgado.
Verificar últimas donaciones</t>
  </si>
  <si>
    <t>Revisión visual. Separación</t>
  </si>
  <si>
    <t>Revisión visual y olfativa. No se perciben olores contaminantes</t>
  </si>
  <si>
    <t>Revisión visual y se verifica plan de limpieza</t>
  </si>
  <si>
    <t>Revisión visual</t>
  </si>
  <si>
    <t>Verificar plan de limpieza y registro de control</t>
  </si>
  <si>
    <t>Revisión visual durante tareas de reposición, zonas de picking o zona de "embolsate"</t>
  </si>
  <si>
    <r>
      <rPr>
        <sz val="11"/>
        <rFont val="Calibri"/>
        <family val="1"/>
      </rPr>
      <t>Recorrido visual, externo e interno</t>
    </r>
  </si>
  <si>
    <t>Listado de productos y verificación de que esten habilitados</t>
  </si>
  <si>
    <r>
      <rPr>
        <sz val="11"/>
        <rFont val="Calibri"/>
        <family val="1"/>
      </rPr>
      <t>Revisión de plan, contrato, frecuencia de revisiones.
Informes de visitas
Si se evidencian insectos, alimañas, aves, etc., no se cumple con el plan</t>
    </r>
  </si>
  <si>
    <t>Verificar habilitaciones del proveedor de control de plagas</t>
  </si>
  <si>
    <t>Revisión visual de dispositivos. Prohibido caños de PVC. Revision 1er, 2do y 3er anillo. Distancia Lineal 20 mts y por cada lado de cada ingreso/egreso</t>
  </si>
  <si>
    <r>
      <rPr>
        <sz val="11"/>
        <rFont val="Calibri"/>
        <family val="1"/>
      </rPr>
      <t>Verificación visual existencia de trampas de UV</t>
    </r>
    <r>
      <rPr>
        <sz val="11"/>
        <rFont val="Calibri"/>
        <family val="2"/>
      </rPr>
      <t xml:space="preserve"> cercanas a portones de ingreso/egreso. No mas de 1.80 MTS.</t>
    </r>
    <r>
      <rPr>
        <sz val="12"/>
        <color theme="1"/>
        <rFont val="Calibri"/>
        <family val="2"/>
        <scheme val="minor"/>
      </rPr>
      <t xml:space="preserve"> ZONA DE CHOCOLATES, HARINAS Y PASTAS</t>
    </r>
  </si>
  <si>
    <t>Verificación visual de existencia de Trampas para gorgojos y polillas (feromonas) terrestes y aereas obligatoriamente. Radio de Cobertura 15 Mts. ZONA DE CHOCOLATES, HARINAS Y PASTAS</t>
  </si>
  <si>
    <t>Verificación visual exterior (pasto corto/limpieza)</t>
  </si>
  <si>
    <t>El lugar de fraccionamiento de estos productos se encuentra segregado y hermetico, con las condiciones adecuadas de temperatura controladay  su registro. Temperatura adecuada (15-25°C)</t>
  </si>
  <si>
    <t>Revisión visual. Delimitacion, carteleria, control de Temperatura controlada, con registros.</t>
  </si>
  <si>
    <t>Disponer de Barbijos, Guantes, Cofia</t>
  </si>
  <si>
    <t xml:space="preserve">Disponen de Cebos para Roedores y Lampara UV </t>
  </si>
  <si>
    <t>Verificar ingreso o medir dimensiones del acceso aptas para recibir camiones de tipo semirremolque</t>
  </si>
  <si>
    <t>Inspección visual o entrevista al distribuidor o empleados</t>
  </si>
  <si>
    <t>Inspección visual y validar que los vehiculos al momento de la carga/decarga no obstaculicen
el trafico"</t>
  </si>
  <si>
    <t>Inspección visual y validar que los vehiculos al momento de la carga/decarga no obstaculicen
el trafico</t>
  </si>
  <si>
    <t>Inspección visual</t>
  </si>
  <si>
    <t>Inspección visual. Sino cuenta con extractores eolicos, pero se comprueba una temperatura adecuada en base a registros el
componente se cumple</t>
  </si>
  <si>
    <r>
      <rPr>
        <sz val="11"/>
        <rFont val="Calibri"/>
        <family val="1"/>
      </rPr>
      <t>Inspección visual. Sino cuenta con extractores eolicos, pero se comprueba una temperatura adecuada en base a registros el
componente se cumple</t>
    </r>
  </si>
  <si>
    <t>Revisión de luminarias y aberturas</t>
  </si>
  <si>
    <t>Revisión de luminarias y protecciones</t>
  </si>
  <si>
    <t>Revisar sector y proceso documentado</t>
  </si>
  <si>
    <t>Inspección visual y entrevista al
distribuidor o empleados</t>
  </si>
  <si>
    <t>Revisar sector y proceso
documentado</t>
  </si>
  <si>
    <t>Verificación visual y de funcionalidad. Revisar cantidad y características tales como: alcance en altura, ancho de  pasillos, pesos y cargas, tipo de propulsión, ruedas, y aspectos constructivos)</t>
  </si>
  <si>
    <t xml:space="preserve">Verificación visual y de funcionalidad. </t>
  </si>
  <si>
    <t>Inspección visual, de registros,  y análisis contra picos de temporada de mercadería que requiere
cámara</t>
  </si>
  <si>
    <r>
      <rPr>
        <sz val="11"/>
        <rFont val="Calibri"/>
        <family val="1"/>
      </rPr>
      <t>Inspección visual, de registros,  y análisis contra picos de temporada de mercadería que requiere
cámara</t>
    </r>
  </si>
  <si>
    <t>Inspección visual, de registros,  y análisis contra picos de temporada de mercadería que requiere cámara.Verificar que la ubicación de la cámara a la zona de descarga no supere los 15min haciendo el recorrido caminando.Verifcar cuantos pallets recibe</t>
  </si>
  <si>
    <t>Revisión del generador y de ser posible prueba de funcionamiento</t>
  </si>
  <si>
    <t>Si es alquilado solicitar incidencia del alquiler/ventas.Se debe solicitar dato de ventas en BU; cobertura de ventas en días, dimensiones del depósito(Largo,
ancho y alto)</t>
  </si>
  <si>
    <t>Verificación de equipamiento y
accesibilidad</t>
  </si>
  <si>
    <t>Inspección de registros y material utilizado</t>
  </si>
  <si>
    <r>
      <rPr>
        <sz val="11"/>
        <rFont val="Calibri"/>
        <family val="1"/>
      </rPr>
      <t>Inspección visual</t>
    </r>
  </si>
  <si>
    <t>Inspección de registros  o procedimiento</t>
  </si>
  <si>
    <t>Inspección de registros  y análisis</t>
  </si>
  <si>
    <t>Verificación visual del sector de
guardado de vehículos</t>
  </si>
  <si>
    <r>
      <rPr>
        <sz val="11"/>
        <rFont val="Calibri"/>
        <family val="1"/>
      </rPr>
      <t>Inspección de registros y material utilizado</t>
    </r>
  </si>
  <si>
    <t>Inspección visual, de registros,  y análisis</t>
  </si>
  <si>
    <t>Revisión visual de los productos en despacho y equipamiento.
Registros.
Pedir las fotos de cada uno de los veihculos utilizados para el reparto</t>
  </si>
  <si>
    <r>
      <rPr>
        <sz val="11"/>
        <rFont val="Calibri"/>
        <family val="1"/>
      </rPr>
      <t>Inspección visual, de registros,  y análisis</t>
    </r>
  </si>
  <si>
    <t>Documento que contenga Misión, Visión y Valores. Registro de la comunicación via mail, carteleria, codigo qr,
whatsapp</t>
  </si>
  <si>
    <t>En la Misión, Vision y Valores se debe mencionar a la sustentabilidad</t>
  </si>
  <si>
    <t>Fomentar y Comunicar Politica de Sustentabilidad</t>
  </si>
  <si>
    <t>Fomentar y Comunicar el Código de Ética y Conducta</t>
  </si>
  <si>
    <t>Existe un Organigrama que establece funciones y jerarquías en la distribuidora, incluyendo los perfiles de puestos principales.
Formato digital</t>
  </si>
  <si>
    <t>Documento que cuente con la definicion  del Perfil de Puestos, competencias necesarias, objetivos e indicadores del
puesto.</t>
  </si>
  <si>
    <t>Carteleria de zona para fumar, cocina/comedor para consumir alimentos o bebidas. Estado de la ropa de los empleados, registro que se dan dos mudas por año</t>
  </si>
  <si>
    <t>Evidencia de difusion de búsquedas internas a traves de correos electronicos, carteleria. Algun caso de rotación interna</t>
  </si>
  <si>
    <t>Conocimiento y comunicación de Politica de Compromiso con el respeto a los derechos humanos. Publicar politica en grupos de difusion, publicada en facebook/linkdin. Carteleria, capacitaciones, etc.</t>
  </si>
  <si>
    <t>Registro de la capacitación, temas que se dictaron, cantidad de horas destinadas. PLAN ANUAL con minimo de 6 capacitaciones anuales</t>
  </si>
  <si>
    <t>Procedimiento de los beneficios que se ortorgan, documento escrito por parte de RRHH. Acciones para la comunicación</t>
  </si>
  <si>
    <r>
      <rPr>
        <sz val="11"/>
        <rFont val="Calibri"/>
        <family val="1"/>
      </rPr>
      <t>Evidencia del procedimiento o de la comunicación de los mismos.
Acciones para la comunicación</t>
    </r>
  </si>
  <si>
    <t>Registro de las encuestas realizadas. Plan de acción para mejora del clima laboral</t>
  </si>
  <si>
    <t>Registro de las encuestas realizadas a ex empleados, evidenciando los planes de acciones</t>
  </si>
  <si>
    <t>Procedimiento para cubrir una vacante. Evidenciar registros de los días entre salida e ingreso del colaborador</t>
  </si>
  <si>
    <t>Registro de las encuestas realizadas.
Procedimientos para gestionar el ausentismo.
Acciones destinadas a mejorar este indicador</t>
  </si>
  <si>
    <t>Registro de la capacitación, temas que se dictaron, cantidad de horas destinadas</t>
  </si>
  <si>
    <t>Revisar documentacion</t>
  </si>
  <si>
    <t>Procedimientos  y/o convenio con instituciones educativas. Registro del perosnal en esta instancia y las facilidades que se le otorgan</t>
  </si>
  <si>
    <t>Planilla de asistencia del personal, fecha, duracion, nombre. Documentación de los cursos, certificados.</t>
  </si>
  <si>
    <t>Plan de desarrollo profesional</t>
  </si>
  <si>
    <t>Plan de medicion de objetivos</t>
  </si>
  <si>
    <t>Visualización visual de las diferentes áreas.</t>
  </si>
  <si>
    <t>Registro de las auditorias realizadas.</t>
  </si>
  <si>
    <r>
      <rPr>
        <sz val="11"/>
        <rFont val="Calibri"/>
        <family val="1"/>
      </rPr>
      <t>Registro de los planes de acciones.</t>
    </r>
  </si>
  <si>
    <t>Visualización. Registro y evidencia de los ultimos 12 meses contando con plan de implementacion de 5s</t>
  </si>
  <si>
    <t>Registro de las auditorias realizadas en Sector POP.</t>
  </si>
  <si>
    <t>No aplica este año</t>
  </si>
  <si>
    <t>Revisar correos recibidos por el logístico y cualquier contacto  proactivo con Arcor desde el Informe Avanzado de Despacho (IAD), con el transporte para prever horarios de arribo, administrar demoras o adelantos, incluyendo la logística de última milla</t>
  </si>
  <si>
    <t>Revisar documentacion de algun arribo y contactos con CRM.</t>
  </si>
  <si>
    <t>planilla de calculo por medio de la cual analiza el ordenamiento del lay-out.
Consultar con la gente cada cuanto revisan el
ordenamiento del Layout</t>
  </si>
  <si>
    <t>planilla de calculo por medio de la cual analiza el ordenamiento del lay-out.
Inspeccion visual</t>
  </si>
  <si>
    <t>Revisión del lay out si las zonas estan
delimitadas y demarcadas. Evidencia visual</t>
  </si>
  <si>
    <t>Revisión del lay out si las areas principales estan identificadas. Evidencia visual</t>
  </si>
  <si>
    <t>Revisión del lay out si no hay superposicion entre areas criticas. Evidencia visual</t>
  </si>
  <si>
    <t>Revisión visual del layout y recorrida periférica.</t>
  </si>
  <si>
    <t>Revisar que utilicen un correcto control de Stock. Verificar que las unidades en Picking son las proximas a vencer</t>
  </si>
  <si>
    <t>Evidenciar el registro (escrito o digital) con
las unidades vencidas. Detallar cantidad y productos</t>
  </si>
  <si>
    <t>Consultar metodo de informar. Debe contar con una gestion de stock instalada o colocar debajo del film stretch el vencimiento de los
productos</t>
  </si>
  <si>
    <t>Revisar que se complete correctamente la planilla de inventario. Evidenciar registro (escrito o digital) que compruebe plan de accion para minimizar discrepancias entre las
unidades</t>
  </si>
  <si>
    <t>Revisar que se complete correctamente la planilla de inventario. Controlar criterio
definido para el conteo.</t>
  </si>
  <si>
    <t>Revisar frecuencia de los registros</t>
  </si>
  <si>
    <t>Revisar listas de consolidados y definición de
criterios</t>
  </si>
  <si>
    <t>Consultar sobre cual metodo utilizan para el control de consolidado</t>
  </si>
  <si>
    <t>Revisar documentacion. Preguntar sobre
actividades/acciones destinadas a reducir los errores</t>
  </si>
  <si>
    <t>Revision visual de los pedidos.</t>
  </si>
  <si>
    <t>Inspeccion visual</t>
  </si>
  <si>
    <t>Revisar documentacion. Verificar si utilizan control cruzado en mesa de armado.
Consultar acciones destinadas a reducir los
errores</t>
  </si>
  <si>
    <t>Revisar pedidos listos para despacho, estado, lugar, documentación</t>
  </si>
  <si>
    <t>Consultar al fletero sobre metodologia de reparto y como se realiza la carga</t>
  </si>
  <si>
    <t>Procedimiento de ruteo, que incluye el responsable y registro</t>
  </si>
  <si>
    <t>El punto se valida contando con una planilla para registrar los productos rechazados</t>
  </si>
  <si>
    <t>Revisar la documentacion "Planilla modelo control para politica de manejo de vidrio"</t>
  </si>
  <si>
    <t>Revisar sectores de descarga, su ubicación y tamaño. Hablar con la gente para ver si se planifica.</t>
  </si>
  <si>
    <t>Hablar con la gente para ver si se planifica. Quienes estan a cargo de la descarga, cuantas personas son.
En caso de equipos alquilados para descarga, consultar sobre
como aseguran la disponibilidad del mismo</t>
  </si>
  <si>
    <t>Se consulta al distribuidor cual es la ventana horaria para la
recepcion</t>
  </si>
  <si>
    <t>Revisar sectores de descarga, su ubicación y tamaño. La zona
debe estar bien identificada</t>
  </si>
  <si>
    <t>Revisión visual de los productos en despacho. Completar con la planilla modelo subida a la plataforma. Verificar su uso y frecuencia</t>
  </si>
  <si>
    <r>
      <rPr>
        <sz val="10"/>
        <rFont val="Calibri"/>
        <family val="2"/>
        <scheme val="minor"/>
      </rPr>
      <t>Registro donde se pueda ver la comparativa de distintas rutas. Revisar si cuenta con una herramienta que determine
automaticamente el ruteo mas corto</t>
    </r>
  </si>
  <si>
    <t>Revisión de la herramienta que posea el distribuidor (Módulo
logístico América, Order Manager o Block)</t>
  </si>
  <si>
    <t>Para validar Arcortruck/GoTruck se considera si lo tiene
funcionando o si lo tiene coordinado a la imprementación del mismo</t>
  </si>
  <si>
    <t>Revisión de la herramienta que posea el distribuidor (Módulo
logístico América, Order Manager o Block). Verificar el uso de la herramienta Modulo de Recepcion</t>
  </si>
  <si>
    <t>Revisión de la herramienta que posea el distribuidor (Módulo logístico América, Order Manager o Block). Verificar el uso de
la herramienta Modulo Inventario</t>
  </si>
  <si>
    <t>Revisión de la herramienta que posea el distribuidor (Módulo logístico América, Order Manager o Block). Verificar el uso de
la herramienta Modulo de Picking</t>
  </si>
  <si>
    <t>Revisión de la herramienta que posea el distribuidor (Módulo logístico América, Order Manager o Block).Verificar el uso de la
herramienta Modulo Control de Consolidados</t>
  </si>
  <si>
    <t>Revisión de la herramienta que posea el distribuidor (Módulo logístico América, Order Manager o Block). Verificar el uso de la herramienta Modulo Armado de Pedidos</t>
  </si>
  <si>
    <t>Revisar sector y proceso documentado. La mercaderia debe estar ordenada y registrada. Preguntar a los empleados si el
criterio se cumple continuamente</t>
  </si>
  <si>
    <t>Revisar que no haya mercaderia en sectores no correspondientes. Toda la mercaderia debe estar identificada y se debe llevar un registro (escrito/virtual) de los productos y
unidades rechazadas/devueltas</t>
  </si>
  <si>
    <t>Revisar sector, debe estar bien identificado y separado</t>
  </si>
  <si>
    <r>
      <rPr>
        <sz val="10"/>
        <rFont val="Calibri"/>
        <family val="2"/>
        <scheme val="minor"/>
      </rPr>
      <t>Hablar con la gente para ver si tienen conocimiento de la
politica</t>
    </r>
  </si>
  <si>
    <t>Revisión documental, Validar que los documentos fueron
ajustados al Distribuidor</t>
  </si>
  <si>
    <r>
      <rPr>
        <sz val="10"/>
        <rFont val="Calibri"/>
        <family val="2"/>
        <scheme val="minor"/>
      </rPr>
      <t>Revisión documental, Validar que los documentos fueron
ajustados al Distribuidor</t>
    </r>
  </si>
  <si>
    <t>Revisión documental. Registro de faltantes
/ sobrantes. Analisis de causas</t>
  </si>
  <si>
    <t>Revisión documental. Registro mensual del mismo</t>
  </si>
  <si>
    <t>Revisión documental</t>
  </si>
  <si>
    <t>Registro de los informes realizados,
evidenciar forma de comunicación</t>
  </si>
  <si>
    <t>Ver herramienta de ruteo. Analisis de los
resultados y planes de accion a implementar</t>
  </si>
  <si>
    <t>Planillas o documentos que registren los historicos de mantenimiento</t>
  </si>
  <si>
    <t>Planillas o documentos de gestion de las unidades. Registro de acciones realizadas</t>
  </si>
  <si>
    <t>Revisión documental y registro y
categorizacion de los accidentes</t>
  </si>
  <si>
    <t>Registro mensual consumo de energía.</t>
  </si>
  <si>
    <t>Registro con cantidad [kgs] y tipo de material. En caso que se efectue un retiro
del mismo contar con el remito</t>
  </si>
  <si>
    <t>Registro identificando los agentes emisores de gases de efecto invernadero</t>
  </si>
  <si>
    <t>Registro de capacitaciones, donde se
detalle personal capacitado y duración de las mismas, la fecha</t>
  </si>
  <si>
    <t>Registro de colaboradores, donde se detalle sexo, edad, discapacidad, etc.</t>
  </si>
  <si>
    <t>Registro de donaciones realizadas, donde se detalle la cantidad de productos entregada, las organizaciones a las cuales se les
entregó la donación, fecha, etc</t>
  </si>
  <si>
    <t>Revisión visual y consulta con RRHH para
ver procedimientos de actualizacion</t>
  </si>
  <si>
    <t>Revision visual de carteleria</t>
  </si>
  <si>
    <r>
      <rPr>
        <sz val="10"/>
        <rFont val="Calibri"/>
        <family val="2"/>
        <scheme val="minor"/>
      </rPr>
      <t>Evidencia de comunicaciones realizadas por la compañía a grupos de interés para la sensibilización, concientización y capacitación en relación con diferentes temáticas y detalle de canales de
comunicación utilizados</t>
    </r>
  </si>
  <si>
    <t>Revisar documentación y proceso documentado. Hablar con el personal para corroborar. Evidencia visual de un pizarrón</t>
  </si>
  <si>
    <t>Registro de los planes de acciones de las reuniones realizadas</t>
  </si>
  <si>
    <r>
      <rPr>
        <sz val="10"/>
        <rFont val="Calibri"/>
        <family val="2"/>
        <scheme val="minor"/>
      </rPr>
      <t>Registro plan de mantenimiento preventivo para equipamiento e
Infraestructura</t>
    </r>
  </si>
  <si>
    <t>Registro plan de mantenimiento preventivo para equipamiento e Infraestructura</t>
  </si>
  <si>
    <r>
      <rPr>
        <sz val="10"/>
        <rFont val="Calibri"/>
        <family val="2"/>
        <scheme val="minor"/>
      </rPr>
      <t>Registro plan de mantenimiento
preventivo para equipamiento e Infraestructura</t>
    </r>
  </si>
  <si>
    <t>Registro de las reuniones, consulto con el personal para corroborar si se realizan las reuniones</t>
  </si>
  <si>
    <t>Revisar documentación. Hablar con fleteros o logísticos. Ver herramienta</t>
  </si>
  <si>
    <t>Revisar documentación. Hablar con PDV o logísticos. Ver herramienta con evidencias de un PDV</t>
  </si>
  <si>
    <t>Revisar documentación y proceso documentado. Hablar con comerciales o logísticos.</t>
  </si>
  <si>
    <t>Revision de la base de ventana horarias relevadas</t>
  </si>
  <si>
    <t>Ver de existir importacion de base en sist de ruteo o
satelital</t>
  </si>
  <si>
    <t>Revisar documentación. Hablar con fleteros o logísticos</t>
  </si>
  <si>
    <t>Revisar documentación.
Hablar con fleteros o logísticos</t>
  </si>
  <si>
    <t>Revisar método y eventuales documentos o pantallas.</t>
  </si>
  <si>
    <t>Entrevista al personal y eventual verificación documental.
De la reunion con Ventas y Administracion se desprende la planificacion tactica de Logistica</t>
  </si>
  <si>
    <t>Verificar existencia del procedimiento definido por
Arcor.</t>
  </si>
  <si>
    <t>Firma de carta de adhesion con aquellos proveedores criticos</t>
  </si>
  <si>
    <t>El punto se valida con una planilla y un analisis de proveedores</t>
  </si>
  <si>
    <t>Demostrar en el perfil de puesto la persona responsible de la comunicacion vecinal</t>
  </si>
  <si>
    <t>Evidenciar evaluacion e identificacion de impactos negativos y su correspondiente plan de accion para disminuirlo</t>
  </si>
  <si>
    <t>Evidencia de colaboradores locales, remitos de proveedores locales, etc.</t>
  </si>
  <si>
    <r>
      <rPr>
        <sz val="10"/>
        <rFont val="Calibri"/>
        <family val="2"/>
        <scheme val="minor"/>
      </rPr>
      <t>Registro de los consumos mensuales (Kw) en un Excel. Definir metas para la reduccion y
confeccion de un plan de accion</t>
    </r>
  </si>
  <si>
    <t>Evidencia visual demostrando tener instalaciones y herramientas destinadas a
reducir el consumo.</t>
  </si>
  <si>
    <t>Registro de los consumos (en litros) mensuales en un Excel. Definir metas para la reduccion y confeccion de un plan de accion</t>
  </si>
  <si>
    <t>Ficha tecnica de los componentes, inspeccion visual de la etiqueta de eficiencia energetica.</t>
  </si>
  <si>
    <t>Si se establecen metas para la reduccion de combustible y la reduccion de energia, se dara por validado este componente.</t>
  </si>
  <si>
    <t>Registro de los residuos mensuales generados en un Excel (en Kg.) y los enviados a demosido (bultos). Definir metas para la reduccion de este volumen. Realizar un plan de acción</t>
  </si>
  <si>
    <t>Ver en la planificación anual los desafíos inlcuidos en materia de reducción de insumos y elementos de baja eficiencia energetica y reducción en la utilización elementos
contaminantes</t>
  </si>
  <si>
    <t>Planificación de reemplazos considerando tecnologias de reducción de emisión de
contaminantes y eficiencia energetica</t>
  </si>
  <si>
    <t>Análisis de crecimiento para los proximos 1 a 3 años - e inversiones a realizar para adecuar la
estructura de la distribuidora</t>
  </si>
  <si>
    <t>Ver documentación  y avances con el plan de crecimiento de ARCOR - Plan de seguimiento y
acciones</t>
  </si>
  <si>
    <t>Ver FODA realizado y acciones definidas junto con aciones ya implementadas y en curso</t>
  </si>
  <si>
    <t>Ver documental de como se contruyo el presupuesto y que desafíos en indicadores se incluyeron para reducción de aquellos con oportunidades de mejora</t>
  </si>
  <si>
    <t>Entrevista al personal y eventual verificación documental. De la reunion con Ventas y Administracion se desprende la planificacion
tactica de Logistica</t>
  </si>
  <si>
    <t>Entrevista al personal y verificación documental. Ver temas incluidos y grupo de trabajo de los mismos junto con planes de
acción y seguimiento</t>
  </si>
  <si>
    <t>Docuementación de las reuniones de mandos medios con temas tratados y seguimiento de
las acciones</t>
  </si>
  <si>
    <t>Documentación del proceso de ruteo y
capacitación del ruteador con caracteristicas a tener en cuenta</t>
  </si>
  <si>
    <t>Ver analasis realizado y planes de acción realizados y vigentes</t>
  </si>
  <si>
    <t>Revisión documental y entrevistas al personal</t>
  </si>
  <si>
    <t>El distribuidor controla la temperatura al momento del despacho y durante la distribución en productos refrigerados y congelados y deja registros de los controles</t>
  </si>
  <si>
    <r>
      <t>El distribuidor controla la temperatura al momento del despacho y durante la distribución en productos refrigerados</t>
    </r>
    <r>
      <rPr>
        <sz val="12"/>
        <rFont val="Aptos Narrow"/>
        <family val="2"/>
      </rPr>
      <t xml:space="preserve"> y congelados y deja registros de los controles</t>
    </r>
  </si>
  <si>
    <t>Está determinada la frecuencia de procesamiento de productos  rechazados. Se almacenan según el maestro de articulos</t>
  </si>
  <si>
    <r>
      <t xml:space="preserve">Está determinada la frecuencia de procesamiento de productos  rechazados. </t>
    </r>
    <r>
      <rPr>
        <sz val="12"/>
        <rFont val="Aptos Narrow"/>
        <family val="2"/>
      </rPr>
      <t>Se almacenan según el maestro de articulos</t>
    </r>
  </si>
  <si>
    <t>El sector de Productos no aptos se encuentra delimitado, confinado e identificado con cartelería de manera visual e inequívoca. Se debe evidenciar visualmente Oden y Limpieza del Area.</t>
  </si>
  <si>
    <t>Se garantiza el uso de elementos sanitarios para la manipulacion de los productos y el proceso de fraccionado (Barbijo, Cofia, Guantes).</t>
  </si>
  <si>
    <t>Se garantiza Monitoreo Integral de Plagas adecuada al Area de Fraccionamiento y a los Productos a Fraccionar.</t>
  </si>
  <si>
    <r>
      <t xml:space="preserve">Se garantiza el uso de </t>
    </r>
    <r>
      <rPr>
        <b/>
        <sz val="12"/>
        <rFont val="Calibri"/>
        <family val="2"/>
        <scheme val="minor"/>
      </rPr>
      <t>elementos sanitarios para la manipulacion</t>
    </r>
    <r>
      <rPr>
        <sz val="12"/>
        <rFont val="Calibri"/>
        <family val="2"/>
        <scheme val="minor"/>
      </rPr>
      <t xml:space="preserve"> de los productos y el proceso de fraccionado </t>
    </r>
    <r>
      <rPr>
        <b/>
        <sz val="12"/>
        <rFont val="Calibri"/>
        <family val="2"/>
        <scheme val="minor"/>
      </rPr>
      <t>(Barbijo, Cofia, Guantes)</t>
    </r>
    <r>
      <rPr>
        <sz val="12"/>
        <rFont val="Calibri"/>
        <family val="2"/>
        <scheme val="minor"/>
      </rPr>
      <t>.</t>
    </r>
  </si>
  <si>
    <r>
      <t xml:space="preserve">Se garantiza </t>
    </r>
    <r>
      <rPr>
        <b/>
        <sz val="12"/>
        <rFont val="Calibri"/>
        <family val="2"/>
        <scheme val="minor"/>
      </rPr>
      <t>Monitoreo Integral de Plagas</t>
    </r>
    <r>
      <rPr>
        <sz val="12"/>
        <rFont val="Calibri"/>
        <family val="2"/>
        <scheme val="minor"/>
      </rPr>
      <t xml:space="preserve"> adecuada al Area de Fraccionamiento y a los Productos a Fraccionar.</t>
    </r>
  </si>
  <si>
    <t>Los dispositivos de control de plagas para roedores (cebaderas) están identificados, protegidos, fijos, razonablemente limpios, no obstruidos y en buenas condiciones para cumplir su función</t>
  </si>
  <si>
    <t>NA - 1</t>
  </si>
  <si>
    <t>NA - 0</t>
  </si>
  <si>
    <t>Congelados: 1
Aclarar en Gannt "Relevamiento Auditoria"</t>
  </si>
  <si>
    <t>La Distribuidora tiene prácticas que contribuyen al equilibrio vida laboral y familiar/personal (Ejemplo: día libre por cumpleaños, días con horarios flexible, permisos especiales para trámites o actividades familiares/escolares que requieren de su atención, etc.)</t>
  </si>
  <si>
    <t>Puntos posibles</t>
  </si>
  <si>
    <t>Puntos Logrados</t>
  </si>
  <si>
    <t>% Adherencia</t>
  </si>
  <si>
    <t>MODULO</t>
  </si>
  <si>
    <t>EMPLAZAMIENTO</t>
  </si>
  <si>
    <t>ENTORNO Y SEGURIDAD EXTERNA</t>
  </si>
  <si>
    <t>Predios cerrados, o Zonas industriales o logísticas</t>
  </si>
  <si>
    <t>Zona segura, con vigilancia de fuerzas públicas o privadas</t>
  </si>
  <si>
    <t>Zona provista de iluminación pública o propia.</t>
  </si>
  <si>
    <t>Declaración de Buena Practica</t>
  </si>
  <si>
    <t>La localización geográfica donde se emplaza el depósito es segura en cuanto riesgos de seguridad patrimonial</t>
  </si>
  <si>
    <t>Capacidad de recibir unidades de alto tonelaje</t>
  </si>
  <si>
    <t>La localización geográfica donde se emplaza el depósito permite / autoriza  acceso a vehículos, inclusive de gran porte</t>
  </si>
  <si>
    <t>PREDIO Y CIRCULACION</t>
  </si>
  <si>
    <t>1.3.3</t>
  </si>
  <si>
    <t>1.3.4</t>
  </si>
  <si>
    <t>1.3.5</t>
  </si>
  <si>
    <t>Entorno sin problemas de congestionamiento de tráfico</t>
  </si>
  <si>
    <t>Poseen alero o permiten el ingreso de la culata de los vehiculos para la carga/descarga en condiciones climáticas desfavorables</t>
  </si>
  <si>
    <t>Calles y accesos en buen estado, sin pendientes, consolidados o asfaltados</t>
  </si>
  <si>
    <t>Los accesos / calles internas del predio - o del entorno del depósito o vía pública - permiten la circulación segura de vehículos y otro equipamiento de maniobra.</t>
  </si>
  <si>
    <t>SEGURIDAD INTERNA</t>
  </si>
  <si>
    <t>Ponderaciones en Area</t>
  </si>
  <si>
    <t>AREA en programa</t>
  </si>
  <si>
    <t>comp en el atributo</t>
  </si>
  <si>
    <t>Peso BPL</t>
  </si>
  <si>
    <t>EDIFICACION</t>
  </si>
  <si>
    <t>La seguridad patrimonial se garantiza mediante infraestructura electrónica y/o actividades de vigilancia</t>
  </si>
  <si>
    <t>Sistema de Alarmas en depósito y oficinas</t>
  </si>
  <si>
    <t>Cámaras de Video en distintos sectores, con grabación y registro</t>
  </si>
  <si>
    <t>LAY OUT - CAPACIDAD Y MODULACION</t>
  </si>
  <si>
    <t>Días hábiles promedio  6 meses de venta almacenados en la bodega (MinImo 21 dias)</t>
  </si>
  <si>
    <t>La capacidad del depósito es adecuada para el volumen de ventas , asegura el flujo físico continuo y permite  mantener la cobertura de stock definida por Arcor.</t>
  </si>
  <si>
    <t>TECHOS  y PAREDES: ESTADO</t>
  </si>
  <si>
    <t>Techo aislado y/o revestido,  bien conservado</t>
  </si>
  <si>
    <t>Paredes aisladas y/o revestidas, bien conservadas, que no permitan la acumulación de tierra o plagas</t>
  </si>
  <si>
    <t>Posee termómetro en sector Secos, (no se permiten termometros de mercurio)</t>
  </si>
  <si>
    <t>Las paredes y los techos del depósito se encuentran en buen estado y cuentan con elementos que garantizan las condiciones de conservación de los productos , definidos por Arcor. Temperatura 35°C (máxima promedio).</t>
  </si>
  <si>
    <t>PISOS y JUNTAS: ESTADO</t>
  </si>
  <si>
    <t>Posee terminación alisada  (a llana)</t>
  </si>
  <si>
    <t>Las juntas poseen relleno (compuesto elástico ) y/o protección metálica que no genere golpes al transito de apiladoras o transpaletas</t>
  </si>
  <si>
    <t>Los pisos  y juntas interiores del depósito son adecuados,  en buen estado, garantizando y asegurando la operación.</t>
  </si>
  <si>
    <t>ABERTURAS</t>
  </si>
  <si>
    <t>El depósito cuenta con al menos 2 portones e ingreso peatonal independiente</t>
  </si>
  <si>
    <t>2.6</t>
  </si>
  <si>
    <t>ILUMNACIÓN</t>
  </si>
  <si>
    <t>2.6.1</t>
  </si>
  <si>
    <t>2.6.2</t>
  </si>
  <si>
    <t>2.6.3</t>
  </si>
  <si>
    <t>2.6.4</t>
  </si>
  <si>
    <t xml:space="preserve">Se encuentran por encima del nivel más alto de almacenamiento </t>
  </si>
  <si>
    <t>El depósito cuenta con lluminación adecuada para garantizar una operación logística eficaz y segura</t>
  </si>
  <si>
    <t>2.7</t>
  </si>
  <si>
    <t>2.7.1</t>
  </si>
  <si>
    <t>2.7.2</t>
  </si>
  <si>
    <t>DESAGUES</t>
  </si>
  <si>
    <t>Se  encuentran en buen estado (no se visualizan manchas de humedad), con rejillas de protección</t>
  </si>
  <si>
    <t>El depósito cuenta con desagües que permiten evacuar el agua acumulada por lluvia</t>
  </si>
  <si>
    <t>ALMACENAMIENTO Y MANIPULEO</t>
  </si>
  <si>
    <t>EPPS y Extinguidores</t>
  </si>
  <si>
    <t>3.1.2</t>
  </si>
  <si>
    <t>Uso correcto de EPP (zapatos, cascos) y extintores en correctas condiciones</t>
  </si>
  <si>
    <t>Uso correcto de EPPS (zapatos o casco según reglamentación local vigente)</t>
  </si>
  <si>
    <t>Extintores bien ubicados y en período de vencimiento</t>
  </si>
  <si>
    <t>POP Y MOBILIARIO</t>
  </si>
  <si>
    <t>Los freezers y/o mobiliarios usados se encuentran en condiciones de higiene adecuadas</t>
  </si>
  <si>
    <t>El material se encuentra inventariado el mueble pesado</t>
  </si>
  <si>
    <t>La infraestructura del depósito permite el almacenamiento de material promocional y de conservación en punto de venta (POP, mobiliario, freezers, etc) en un lugar aislado de la mercadería  y seguro para la conservación y rotación de los mismos.</t>
  </si>
  <si>
    <t>CRITICO 1</t>
  </si>
  <si>
    <t>CRITICO 2</t>
  </si>
  <si>
    <t>CRITICO 3</t>
  </si>
  <si>
    <t>Indice nivel de capacidad para productos refrigerados es menor que 1 respecto a su capacidad teorica real</t>
  </si>
  <si>
    <t>Posee termómetro en Cámara de Refrigerados, (no se permiten termometros de mercurio)</t>
  </si>
  <si>
    <t>La cámara de refrigerados cuenta con las condiciones necesarias para cubir las necesidades de almacenamiento y control de temperatura (entre 15°C a 25 °C) garantizando la conservación de la mercadería.</t>
  </si>
  <si>
    <t>Indice nivel de capacidad para productos congelados es menor que 1 respecto a su capacidad teorica real</t>
  </si>
  <si>
    <t>La cámara de congelados cuenta con las condiciones necesarias para cubir las necesidades de almacenamiento y control de temperatura (-18 °C) garantizando la conservación de la mercadería.</t>
  </si>
  <si>
    <t>3.4.3</t>
  </si>
  <si>
    <t>3.4.4</t>
  </si>
  <si>
    <t xml:space="preserve">Cuenta con traspallets o "zorritas" </t>
  </si>
  <si>
    <t>Cuenta con carros para Consolidados/Pedidos</t>
  </si>
  <si>
    <t>El equipo para operar (dentro del depósito) es electrico</t>
  </si>
  <si>
    <t>CRITICO 4</t>
  </si>
  <si>
    <t>TRANSPORTE Y REPARTO</t>
  </si>
  <si>
    <t>VEHICULOS</t>
  </si>
  <si>
    <t>Se guardan en sectores seguros y aislados de la mercadería</t>
  </si>
  <si>
    <t>Los vehiculos son guardados en sectores aislados de la mercaderia</t>
  </si>
  <si>
    <t>INFORMACIÓN Y COMUNICACIONES</t>
  </si>
  <si>
    <t>INFORMÁTICA</t>
  </si>
  <si>
    <t>El equipamiento informático es accesible al personal de logística y permite un flujo de información que facilita la operación del depósito</t>
  </si>
  <si>
    <t>5.2</t>
  </si>
  <si>
    <t>COMUNICACIONES</t>
  </si>
  <si>
    <t>5.2.1</t>
  </si>
  <si>
    <t>El personal de logística cuenta con algún dispositivo de comunicación que permita contactarse al interior y exterior de la distribuidora</t>
  </si>
  <si>
    <t>El equipamiento de comunicaciones es accesible al personal de logística y permite coordinar actividades operativas con clientes o proveedores, internos o externos</t>
  </si>
  <si>
    <t>5.3</t>
  </si>
  <si>
    <t>ADQUISICIÓN DE DATOS</t>
  </si>
  <si>
    <t>5.3.1</t>
  </si>
  <si>
    <t>El personal de logística cuenta cámaras digitales o escáneres, o "smartphones"</t>
  </si>
  <si>
    <t>El equipamiento de adquisición de datos es accesible al personal de logística y permite recopilar evidencias o anomalías en la operación</t>
  </si>
  <si>
    <t>ABASTECIMIENTO Y RECEPCIÓN</t>
  </si>
  <si>
    <t>REPOSICION INVENTARIOS</t>
  </si>
  <si>
    <t>CONSOLIDADOS Y PEDIDOS</t>
  </si>
  <si>
    <t>RETORNO Y/O DEVOLUCIONES</t>
  </si>
  <si>
    <t>Area de interés : Infraestructura</t>
  </si>
  <si>
    <t>Area de interés : Procesos Logísticos</t>
  </si>
  <si>
    <t>PLANIFICACIÓN DE LAS COMPRAS</t>
  </si>
  <si>
    <t>Logística interviene en el proceso de planificación de necesidades de Compras.</t>
  </si>
  <si>
    <t>Se informa/comunica las compras ( de volumen mayor a los normal o excepcionales)a Logística para que pueda planificar la operación de descarga y espacio necesario.(Registro, email, etc)</t>
  </si>
  <si>
    <t>ACTIVACION DEL ABASTECIMIENTO</t>
  </si>
  <si>
    <t xml:space="preserve">Logística recibe el IAD </t>
  </si>
  <si>
    <t xml:space="preserve">El proceso de activación del abastecimiento minimiza arribos imprevistos o demoras exageradas.          </t>
  </si>
  <si>
    <t>6.3.2</t>
  </si>
  <si>
    <t>6.3.3</t>
  </si>
  <si>
    <t>6.3.4</t>
  </si>
  <si>
    <t>Descarga  en lugares definidos</t>
  </si>
  <si>
    <t xml:space="preserve">El proceso de coordinación del abastecimiento permite planificar recursos para la descarga.        </t>
  </si>
  <si>
    <t>CRITICO 5</t>
  </si>
  <si>
    <t>RECEPCION</t>
  </si>
  <si>
    <t>Las novedades se transmiten a Logística de Arcor por correo</t>
  </si>
  <si>
    <t xml:space="preserve">El proceso de control de recepción garantiza integridad de la mercadería y transmisión a Arcor de discrepancias  </t>
  </si>
  <si>
    <t>ORGANIZACIÓN DEL LAY OUT</t>
  </si>
  <si>
    <t>Frecuencia definida documentada de revisión y/o modificación del lay-out (minimo cada 3 meses, maximo cada 6 meses)</t>
  </si>
  <si>
    <t>Pasillos organizados por algun criterio logico (Negocio, ABC, familia, etc)</t>
  </si>
  <si>
    <t>7.1.2</t>
  </si>
  <si>
    <t>La Organización del lay out optimiza el guardado, rotación, reposición y preparado de mercadería</t>
  </si>
  <si>
    <t>IDENTIFICACION DEL LAY OUT</t>
  </si>
  <si>
    <t>No hay superposición entre áreas críticas (Despacho y Recepción por ej)</t>
  </si>
  <si>
    <t xml:space="preserve">Se encuentran definidas e identificadas las zonas del lay out </t>
  </si>
  <si>
    <t>ROTACION</t>
  </si>
  <si>
    <t>Se informa sobre productos proximos a vencer a fin de tomar acciones</t>
  </si>
  <si>
    <t>Se garantiza identificación y rotación de la mercadería (FEFO), en sectores de almacenamiento como de preparado</t>
  </si>
  <si>
    <t>REPOSICIÓN DE MERCADERIA</t>
  </si>
  <si>
    <t>Logística o personal designado supervisa por turno o por día con algún criterio (Por ej: Productos A)</t>
  </si>
  <si>
    <t>Posiciones fijas de pickeo con capacidades definidas y/o frecuencias de reposición.</t>
  </si>
  <si>
    <t>Se verifica el volumen de la posición de picking con una frecuencia determinada (minimo cada 3 meses, maximo cada 6 meses)</t>
  </si>
  <si>
    <t>Está estandarizado el proceso de reposición de mercadería desde almacenamiento a picking.</t>
  </si>
  <si>
    <t>Criterio definido de  selección de items (ABC, rotativo,negocio, pasillo, etc.). Se toman y/o verifican  fechas de vencimientos.</t>
  </si>
  <si>
    <t>Se realizan con una frecuencia definida,  mínima mensual</t>
  </si>
  <si>
    <t xml:space="preserve">Se realizan inventarios rotativos para asegurar confiabilidad del stock </t>
  </si>
  <si>
    <t>CRITICO 6</t>
  </si>
  <si>
    <t>TRANSMISION DE PEDIDOS</t>
  </si>
  <si>
    <t>Ventana horaria establecida para el corte de pedidos</t>
  </si>
  <si>
    <t>Realiza analisis frecuentes relacionado a desvios en el corte de pedidos</t>
  </si>
  <si>
    <t>Existe una transmisión de pedidos en forma continua o con algún criterio</t>
  </si>
  <si>
    <t>ARMADO Y ASIGNACIÓN DE CONSOLIDADOS Y/O PEDIDOS</t>
  </si>
  <si>
    <t>Se generan los consolidados aplicando criterios (Logísticos)de corte a partir de los pedidos ingresados-Solo para los que trabajan pedido por pedido</t>
  </si>
  <si>
    <t>La generación de consolidados se hace por criterios definidos (cortes x $; cant Bultos; reparto, vendedor, etc) optimizando los recursos de la distribuidora</t>
  </si>
  <si>
    <t>CONTROL DE CONSOLIDADO</t>
  </si>
  <si>
    <t>9.3.3</t>
  </si>
  <si>
    <t>Se registran los errores y usuarios para mejorar el proceso</t>
  </si>
  <si>
    <t>Se conserva en forma transitoria registro de control del consolidado</t>
  </si>
  <si>
    <t>Existe un metodo de control de consolidado</t>
  </si>
  <si>
    <t>Existe un control de los consolidados preparados que evita las diferencias entre la orden y la preparación fisica</t>
  </si>
  <si>
    <t>ARMADO DE PEDIDOS</t>
  </si>
  <si>
    <t>9.4.3</t>
  </si>
  <si>
    <t xml:space="preserve">El pedido contiene identificación  de bultos, cliente, zona de reparto, factura, o alguna identificación que facilite la carga </t>
  </si>
  <si>
    <t>El control del armado evita las diferencias entre la orden y la preparación fisica</t>
  </si>
  <si>
    <t>PEDIDOS LISTOS PARA CARGA</t>
  </si>
  <si>
    <t>Existe un criterio para la organización de los repartos previo a la carga de las unidades</t>
  </si>
  <si>
    <t>CARGA DE PEDIDOS</t>
  </si>
  <si>
    <t>10.2.2</t>
  </si>
  <si>
    <t>10.2.3</t>
  </si>
  <si>
    <t>Pedido:La carga se realiza por LIFO de acuerdo al ruteo. Consolidado:La mercadería se carga organizada (manteniendo identificado cada negocio para su pickeo en el punto de venta</t>
  </si>
  <si>
    <t>Cuenta con metodologia o registro de la hoja de ruta y el responsable del armado</t>
  </si>
  <si>
    <t>Fletero controla y realiza la carga, si existe diferencia verifica con logística y realiza un registro de conformidad</t>
  </si>
  <si>
    <t>Existe un criterio para la  carga de las unidades de transporte que garantice el orden y control de la misma</t>
  </si>
  <si>
    <t>10.3</t>
  </si>
  <si>
    <t>ENTREGA AL CLIENTE</t>
  </si>
  <si>
    <t>10.3.1</t>
  </si>
  <si>
    <t>10.3.2</t>
  </si>
  <si>
    <t>La  entrega de mercadería (pedidos) al cliente  garantiza la integridad de la carga contra el documento de transporte. Se solucionan discrepancias</t>
  </si>
  <si>
    <t>RECHAZOS / DEVOLUCIONES</t>
  </si>
  <si>
    <t>Registro de motivos para posterior analisis y mejora del proceso</t>
  </si>
  <si>
    <t>Mercadería ordenada con algún criterio y documentación de respaldo para validacion</t>
  </si>
  <si>
    <t>Mercadería en el sector identificada y controlada</t>
  </si>
  <si>
    <t>11.1.3</t>
  </si>
  <si>
    <t>11.1.4</t>
  </si>
  <si>
    <t>El procesamiento de devoluciones de cualquier tipo, desde el cliente se encuentra estandarizado</t>
  </si>
  <si>
    <t>ORGANIZACIÓN</t>
  </si>
  <si>
    <t>HERRAMIENTAS DE GESTION</t>
  </si>
  <si>
    <t>Dispone de alguna herramienta informatica y la utiliza en el depósito</t>
  </si>
  <si>
    <t>Cuenta con la aplicación de Arcortrukc para gestionar las entregas , rechazos y/o devoluciones de los clientes</t>
  </si>
  <si>
    <t>Utiliza el Modulo Recepción</t>
  </si>
  <si>
    <t>Utiliza el Modulo Inventario</t>
  </si>
  <si>
    <t>Utiliza el Modulo Picking</t>
  </si>
  <si>
    <t>Utiliza el Modulo Control de Consolidados</t>
  </si>
  <si>
    <t>Utiliza el Modulo Armado de Pedidos</t>
  </si>
  <si>
    <t>12.1.7</t>
  </si>
  <si>
    <t>Cuenta con herramientas de le permita gestionar las operaciones del depósito (warehouse) , logistica de salida y reversa (Arcortruck)</t>
  </si>
  <si>
    <t>ORGANIGRAMAS Y PERFILES</t>
  </si>
  <si>
    <t>12.2</t>
  </si>
  <si>
    <t xml:space="preserve">Se encuentran comunicados </t>
  </si>
  <si>
    <t>Existe un Organigrama que establece funciones y jerarquías en la distribuidora, incluyendo los perfiles de puestos principales</t>
  </si>
  <si>
    <t>12.3</t>
  </si>
  <si>
    <t>12.3.1</t>
  </si>
  <si>
    <t>12.3.2</t>
  </si>
  <si>
    <t>12.3.3</t>
  </si>
  <si>
    <t>12.3.4</t>
  </si>
  <si>
    <t>12.3.5</t>
  </si>
  <si>
    <t>12.3.6</t>
  </si>
  <si>
    <t>12.3.7</t>
  </si>
  <si>
    <t>12.3.8</t>
  </si>
  <si>
    <t>12.3.9</t>
  </si>
  <si>
    <t>12.3.10</t>
  </si>
  <si>
    <t>Cuenta con el Procedimiento Proceso de  Control de Hoja de Ruta y Logistica de Reversa</t>
  </si>
  <si>
    <t>El formato del procedimiento se ajusta al modelo estandar propuesto por Arcor</t>
  </si>
  <si>
    <t>Los procesos logísticos se encuentran documentados y actualizados. Sirven para evaluar desempeño del proceso y para induccion de nuevos recursos</t>
  </si>
  <si>
    <t>PLANIFICACION</t>
  </si>
  <si>
    <t>PLANIFICACIÓN TÁCTICA</t>
  </si>
  <si>
    <t>Logistica participa de reuniones con Ventas y Administracion, en las cuales se definen objetivos anuales y/o mensuales</t>
  </si>
  <si>
    <t>Se realiza el seguimiento de la  planificación en forma períodica (semanal, quincenal o mensual) evaluando el alcance de los resultados.</t>
  </si>
  <si>
    <t>Se planifican tareas en forma periodica (diarias, semanal, quincenal, mensual) en el sector, distribuyendo actividades y dejando establecidas las responsabilidades para cada uno.</t>
  </si>
  <si>
    <t>PLANIFICACIÓN OPERATIVA</t>
  </si>
  <si>
    <t>Se registran e informan las acciones o novedades en un pizarrón o avisadores.</t>
  </si>
  <si>
    <t>Se realizan reuniones periódicas en el sector registrándose las decisiones en  planes de acción</t>
  </si>
  <si>
    <t>13.3</t>
  </si>
  <si>
    <t>MANTENIMIENTO</t>
  </si>
  <si>
    <t>13.3.1</t>
  </si>
  <si>
    <t>13.3.2</t>
  </si>
  <si>
    <t>13.3.3</t>
  </si>
  <si>
    <t>13.3.4</t>
  </si>
  <si>
    <t>Se planifica el mantenimiento preventivo de la infraestructura (desagües, portones, racks, techos)</t>
  </si>
  <si>
    <t>Se planifica el mantenimiento preventivo del grupo electrógeno</t>
  </si>
  <si>
    <t>Se planifica el mantenimiento preventivos del equipamiento logístico de manipuleo</t>
  </si>
  <si>
    <t>Se planifica el mantenimiento preventivo de flota propia o chequeo de tercerizada</t>
  </si>
  <si>
    <t>La Distribuidora posee un plan de mantenimiento preventivo para equipamiento e Infraestructura</t>
  </si>
  <si>
    <t>INFORMACION Y COMUNICACIONES</t>
  </si>
  <si>
    <t>INFORMACIÓN AL PERSONAL</t>
  </si>
  <si>
    <t>Existe cartelería informativa en el sector (novedades, indicadores, vacaciones, lanzamientos, informacion relacionada a la operación del depósito, seguridad)</t>
  </si>
  <si>
    <t>Existe cartelería en el depósito que permita dar información al personal sobre temas afines a la actividad logística (indicadores, gráficos, actividades, planes, avisos generales)</t>
  </si>
  <si>
    <t>SUGERENCIAS DE MEJORA</t>
  </si>
  <si>
    <t>Existe un registro de sugerencias realizadas por parte del personal</t>
  </si>
  <si>
    <t>Está definida una metodología para recibir aportes y sugerencias del personal</t>
  </si>
  <si>
    <t>FORMACION Y DESARROLLO</t>
  </si>
  <si>
    <t>15.1</t>
  </si>
  <si>
    <t>CAPACITACION</t>
  </si>
  <si>
    <t>15.1.1</t>
  </si>
  <si>
    <t>Realizan capacitaciones relacionadas a cambios o mejoras en los procesos o cuentan con un plan de capacitaciones especificas</t>
  </si>
  <si>
    <t>15.2</t>
  </si>
  <si>
    <t>ROTACIÓN Y POLICOMPETENCIAS</t>
  </si>
  <si>
    <t>15.2.1</t>
  </si>
  <si>
    <t xml:space="preserve">Están definidos planes de capacitación al personal. </t>
  </si>
  <si>
    <t>Existe un plan de formación al personal que incluya rotación del mismo y polivalencias/competencias del equipo</t>
  </si>
  <si>
    <t>16.1</t>
  </si>
  <si>
    <t>MEDICION Y MEJORA</t>
  </si>
  <si>
    <t>16.1.1</t>
  </si>
  <si>
    <t>16.1.2</t>
  </si>
  <si>
    <t>16.1.3</t>
  </si>
  <si>
    <t>16.1.4</t>
  </si>
  <si>
    <t>16.1.5</t>
  </si>
  <si>
    <t>16.1.6</t>
  </si>
  <si>
    <t>16.1.7</t>
  </si>
  <si>
    <t>Diferencia de inventario</t>
  </si>
  <si>
    <t>Costo de transporte</t>
  </si>
  <si>
    <t>Costo Operativo  Depósito</t>
  </si>
  <si>
    <t>Productividad global</t>
  </si>
  <si>
    <t>Rechazos</t>
  </si>
  <si>
    <t>Devoluciones</t>
  </si>
  <si>
    <t>Informan mensualmente el tablero al controler</t>
  </si>
  <si>
    <t>Están definidos indicadores logísticos medidos en forma sistémica y con acciones toamdas de sus resultados</t>
  </si>
  <si>
    <t>16.2</t>
  </si>
  <si>
    <t>16.2.1</t>
  </si>
  <si>
    <t>16.2.2</t>
  </si>
  <si>
    <t>16.2.3</t>
  </si>
  <si>
    <t>16.2.4</t>
  </si>
  <si>
    <t>Está implementada cada una de las 5Ss, se mantiene en el tiempo y es base para mejoras edilicias, de procesos y de clima laboral</t>
  </si>
  <si>
    <t>Se toman acciones sobre  los resultados de las auditorias</t>
  </si>
  <si>
    <t>Se auditan con frecuencia determinada (4ta S - AUDITORIA) los niveles de orden y limpieza alcanzados</t>
  </si>
  <si>
    <t>CRITICO 7</t>
  </si>
  <si>
    <t>Area de interés : Gestión</t>
  </si>
  <si>
    <t>Area de interés : Integridad del Producto</t>
  </si>
  <si>
    <t>17.1</t>
  </si>
  <si>
    <t>17.1.1</t>
  </si>
  <si>
    <t>17.1.2</t>
  </si>
  <si>
    <t>17.1.3</t>
  </si>
  <si>
    <t>17.1.4</t>
  </si>
  <si>
    <t>Controlan y poseen un registro de la temperatura con la que arriba la carga de Helados</t>
  </si>
  <si>
    <t>Controlan y poseen un registro de la temperatura con la que arriba la carga de Refrigerados</t>
  </si>
  <si>
    <t>Se realizan controles durante la recepción de productos restringiendo el ingresos de aquellos no aptos o en malas condiciones.</t>
  </si>
  <si>
    <t>ALMACENAMIENTO</t>
  </si>
  <si>
    <t>18.1</t>
  </si>
  <si>
    <t>18.1.1</t>
  </si>
  <si>
    <t>18.1.2</t>
  </si>
  <si>
    <t>18.1.3</t>
  </si>
  <si>
    <t>18.1.4</t>
  </si>
  <si>
    <t>Se identifican claramente los vencimientos.</t>
  </si>
  <si>
    <t>Los bultos almacenados se encuentran en buen estado de conservación, apilabilidad y separacion de la estiba contra la pared</t>
  </si>
  <si>
    <t>Los productos que requieren acondicionamiento de temperatura (según Maestro de Articulos) se encuentran almacenados dentro de la cámara</t>
  </si>
  <si>
    <t>Se garantiza la integridad del producto durante su almacenamiento.</t>
  </si>
  <si>
    <t>18.2</t>
  </si>
  <si>
    <t>CONTAMINACIÓN CRUZADA</t>
  </si>
  <si>
    <t>18.2.1</t>
  </si>
  <si>
    <t>18.2.2</t>
  </si>
  <si>
    <t>18.2.3</t>
  </si>
  <si>
    <t>18.2.4</t>
  </si>
  <si>
    <t>Los productos químicos se almacenan en lugares cerrados (armarios o gabinetes)</t>
  </si>
  <si>
    <t>Se accede al lugar mediante uso de llave u otro elemento que garantice la inviolabilidad y no se evidencia concentración de aromas.</t>
  </si>
  <si>
    <t>El depósito es apto para el almacenamiento seguro de producto sin riesgo de contaminaciones cruzadas con sustancias químicas o aromáticas.</t>
  </si>
  <si>
    <t>18.3</t>
  </si>
  <si>
    <t>18.3.1</t>
  </si>
  <si>
    <t>18.3.2</t>
  </si>
  <si>
    <t>18.3.3</t>
  </si>
  <si>
    <t>Controlan y poseen un registro de la temperatura con la que arriba desde arcor</t>
  </si>
  <si>
    <t>La temperatura de los productos congelados se encuentra en -22°C y se garantiza mediante registros</t>
  </si>
  <si>
    <t>Se controlan las temperaturas de almacenamiento de los productos.</t>
  </si>
  <si>
    <t>CRITICO 8</t>
  </si>
  <si>
    <t>18.4</t>
  </si>
  <si>
    <t>INSTRUMENTOS MEDICIÓN TEMPERATURA</t>
  </si>
  <si>
    <t>18.4.1</t>
  </si>
  <si>
    <t>18.4.2</t>
  </si>
  <si>
    <t>Existe un registro de contrastación y/o calibración de termometros que garantice el correcto funcionamiento</t>
  </si>
  <si>
    <t xml:space="preserve">Los instrumentos de medición alertan ante variaciones inaceptables de temperatura </t>
  </si>
  <si>
    <t>Se mantiene un correcto mantenimiento de los instrumentos de medición de temperaturas y cuenta con un mecanismo de alerta.</t>
  </si>
  <si>
    <t>18.5</t>
  </si>
  <si>
    <t>ROTACIÓN Y REPOSICIÓN</t>
  </si>
  <si>
    <t>18.5.1</t>
  </si>
  <si>
    <t>18.5.2</t>
  </si>
  <si>
    <t xml:space="preserve">Se garantiza la inocuidad del producto evitando el contacto del envase primario o secundario con la madera u otro material contaminante </t>
  </si>
  <si>
    <t>Se garantiza la correcta rotación FEFO por gestión visual o informática.</t>
  </si>
  <si>
    <t>Se evita la contaminación del producto y garantiza su rotación en las tareas de reposición a zona de picking.</t>
  </si>
  <si>
    <t>ILUMINACION</t>
  </si>
  <si>
    <t>18.6</t>
  </si>
  <si>
    <t>18.6.1</t>
  </si>
  <si>
    <t>18.6.2</t>
  </si>
  <si>
    <t>Las luminarias y aberturas de vidrio estan protegidas ante estallidos</t>
  </si>
  <si>
    <t>Existen métodos de prevención de  estallido y astillado en aberturas, etc</t>
  </si>
  <si>
    <t>Cuentan con protección aquellos elementos con materiales suceptibles de producir astillas ante su rotura.</t>
  </si>
  <si>
    <t>DESPACHO</t>
  </si>
  <si>
    <t>19.1</t>
  </si>
  <si>
    <t>Se tienen en cuenta las condiciones de carga de los distintos productos (apilabilidad, peso, volumen, fragilidad, condiciones de temperatura, etc.)</t>
  </si>
  <si>
    <t>El distribuidor controla la temperatura al momento del despacho y durante la distribución en productos refrigerados.</t>
  </si>
  <si>
    <t>19.1.1</t>
  </si>
  <si>
    <t>19.1.2</t>
  </si>
  <si>
    <t>19.1.3</t>
  </si>
  <si>
    <t>Se preserva las condiciones del producto en las tareas de despacho y carga del transporte.</t>
  </si>
  <si>
    <t>19.2</t>
  </si>
  <si>
    <t>DESPACHO LEGALES HIGIENE</t>
  </si>
  <si>
    <t>Cuentan con un metodo/planilla de seguimiento de la documentación de los repartidores (Carnet de conducir y sanitario, tarjeta verde o azul, seguros, VTV o ITV, habilitaciones, etc)</t>
  </si>
  <si>
    <t>Los transportes son de uso exclusivo para alimentos y se encuentran habilitados por la autoridad compentente.</t>
  </si>
  <si>
    <t>El vehiculo que transporta helados cuenta con instrumento de medición de temperatura permitiendo su verificación en cabina.</t>
  </si>
  <si>
    <t>Se tienen en cuenta los requisitos legales, de control e higiene para la flota de vehículos</t>
  </si>
  <si>
    <t>19.2.1</t>
  </si>
  <si>
    <t>19.2.2</t>
  </si>
  <si>
    <t>19.2.3</t>
  </si>
  <si>
    <t>19.2.4</t>
  </si>
  <si>
    <t>20.1</t>
  </si>
  <si>
    <t>20.1.1</t>
  </si>
  <si>
    <t>20.1.2</t>
  </si>
  <si>
    <t>Está determinada la frecuencia de procesamiento de productos rechazados</t>
  </si>
  <si>
    <t>Está definido el método de control y separación entre productos devueltos por el cliente que están aptos y no aptos.</t>
  </si>
  <si>
    <t>CRITICO 9</t>
  </si>
  <si>
    <t>20.2</t>
  </si>
  <si>
    <t>20.2.1</t>
  </si>
  <si>
    <t>20.2.2</t>
  </si>
  <si>
    <t>El lugar se encuentra delimitado/identificado con cartelería de manera visual e inequívoca</t>
  </si>
  <si>
    <t>El lugar para almacenamiento de estos productos se encuentra separado del producto apto</t>
  </si>
  <si>
    <t xml:space="preserve">Se cuenta con un lugar específico para el almacenamiento de productos para devolución a Arcor. </t>
  </si>
  <si>
    <t>CRITICO 10</t>
  </si>
  <si>
    <t>20.3</t>
  </si>
  <si>
    <t>RECALL Y TRAZABILIDAD</t>
  </si>
  <si>
    <t>20.3.1</t>
  </si>
  <si>
    <t>LIMPIEZA</t>
  </si>
  <si>
    <t>21.1</t>
  </si>
  <si>
    <t>21.2</t>
  </si>
  <si>
    <t>RESIDUOS</t>
  </si>
  <si>
    <t>21.1.1</t>
  </si>
  <si>
    <t>21.1.2</t>
  </si>
  <si>
    <t>Dispone de un sector para almacenar los residuos que se mantiene despejado y ordenado compacto y fácilmente lavable.</t>
  </si>
  <si>
    <t>Cuenta con contenedores cerrados para depositar residuos.</t>
  </si>
  <si>
    <t>El tratamiento de residuos en el depósito garantiza aislamiento e inocuidad.</t>
  </si>
  <si>
    <t>21.2.1</t>
  </si>
  <si>
    <t>21.2.2</t>
  </si>
  <si>
    <t>21.2.3</t>
  </si>
  <si>
    <t>Las oficinas están construidas afuera o separados de las zonas donde se encuentran los productos.</t>
  </si>
  <si>
    <t xml:space="preserve">Los baños, vestuarios y/o comedor están en buenas condiciones edilicias, no generan olores y/o contaminación cruzada. </t>
  </si>
  <si>
    <t>Se cuenta con baños, vestuarios y comedor aptos para garantizar limpieza e inocuidad.</t>
  </si>
  <si>
    <t>PLANES DE LIMPIEZA</t>
  </si>
  <si>
    <t>21.3</t>
  </si>
  <si>
    <t>21.3.1</t>
  </si>
  <si>
    <t>21.3.2</t>
  </si>
  <si>
    <t>Los productos químicos utilizados cuentan con los certificados de habilitación de la autoridad sanitaria correspondientes.</t>
  </si>
  <si>
    <t>Existe plan/seguimiento de limpieza documentado.</t>
  </si>
  <si>
    <t>Existen planes de limpieza para el depósito y áreas comunes.</t>
  </si>
  <si>
    <t>MANEJO INTEGRADO DE PLAGAS</t>
  </si>
  <si>
    <t>22.1</t>
  </si>
  <si>
    <t>22.1.1</t>
  </si>
  <si>
    <t>22.1.2</t>
  </si>
  <si>
    <t>22.1.3</t>
  </si>
  <si>
    <t>22.1.4</t>
  </si>
  <si>
    <t>22.1.5</t>
  </si>
  <si>
    <t>Llevan a cabo y existen registros del plan documentado de control de plaga para insectos terrestre, voladores, aves y roedores</t>
  </si>
  <si>
    <t>La empresa cuenta con las habilitaciones vigentes requeridas para realizar todas las tareas del manejo integrado de plagas (incluye la aplicación de plaguicidas). Se deja registro de las aplicaciones (productos, sectores, objetivo,etc)</t>
  </si>
  <si>
    <t>Los dispositivos de control de plagas están identificados, protegidos, fijos, razonablemente limpios, no obstruidos y en buenas condiciones para cumplir su función</t>
  </si>
  <si>
    <t>Se realiza monitoreo y control de insectos voladores con trampas UV.</t>
  </si>
  <si>
    <t>Se realiza monitoreo y control de gorgojos / carcoma con feromonas</t>
  </si>
  <si>
    <t xml:space="preserve"> Contrata una empresa especializada en el manejo intregal de plagas.</t>
  </si>
  <si>
    <t>CRITICO 11</t>
  </si>
  <si>
    <t>22.2</t>
  </si>
  <si>
    <t>INFRAESTRUCTURA</t>
  </si>
  <si>
    <t>22.2.1</t>
  </si>
  <si>
    <t>22.2.2</t>
  </si>
  <si>
    <t>22.2.3</t>
  </si>
  <si>
    <t>El exterior del depósito se encuentra despejado, con el pasto corto, sin acumulación de desechos. No hay equipos/estructuras/POP etc en desuso que favorezcan el anidamiento de plagas. (exterior e interior)</t>
  </si>
  <si>
    <t>No hay evidencia de presencia de mascotas dentro del predio (perros, gatos, etc.)</t>
  </si>
  <si>
    <t>Las condiciones edilicias del depósito y del predio externo garantizan la exclusión de plagas en la zona donde se encuentra el producto</t>
  </si>
  <si>
    <t>IFT</t>
  </si>
  <si>
    <t>PLG</t>
  </si>
  <si>
    <t>IDP</t>
  </si>
  <si>
    <t>GST</t>
  </si>
  <si>
    <t>CRITICO 12</t>
  </si>
  <si>
    <t>EPPS Y EXTINGUIDORES</t>
  </si>
  <si>
    <t>Total COMPONENTES</t>
  </si>
  <si>
    <t>Total BPLs</t>
  </si>
  <si>
    <t>Valor Año anterior</t>
  </si>
  <si>
    <t>La Distribuidora tiene implementado el método de 5S</t>
  </si>
  <si>
    <t>No hay evidencia de presencia de mascotas (perros, gatos, etc.) y/o aves dentro del depósito.</t>
  </si>
  <si>
    <t>Estadio</t>
  </si>
  <si>
    <t>Proactivo</t>
  </si>
  <si>
    <t>Condicionales</t>
  </si>
  <si>
    <t>Activo</t>
  </si>
  <si>
    <t>=</t>
  </si>
  <si>
    <t>Mayor / Igual</t>
  </si>
  <si>
    <t>Reactivo</t>
  </si>
  <si>
    <t>Inactivo</t>
  </si>
  <si>
    <t>Indice</t>
  </si>
  <si>
    <t>Menor</t>
  </si>
  <si>
    <t>0 % &gt;= Inactivo &lt; 50 %</t>
  </si>
  <si>
    <t>Categoria : Tolerancia sobre el total BPLs</t>
  </si>
  <si>
    <t>Adherencia</t>
  </si>
  <si>
    <t>Categoria Final</t>
  </si>
  <si>
    <t>Area de Interes</t>
  </si>
  <si>
    <t>Atributo</t>
  </si>
  <si>
    <t>X</t>
  </si>
  <si>
    <t>Verificar ingreso o medir dimensiones del acceso y consultar restricciones municipales, constrastar con info de CRM</t>
  </si>
  <si>
    <t xml:space="preserve">Capacidad de recibir unidades de alto tonelaje
</t>
  </si>
  <si>
    <t>Los accesos / calles internas del predio - o del entorno del depósito o vía pública - permiten la circulación segura de vehículos y otro equipamiento de maniobra</t>
  </si>
  <si>
    <t>Inspección visual y entrevista al distribuidor o empleados, validar que los vehiculos al momento de la carga/decarga no obstaculicen el trafico</t>
  </si>
  <si>
    <t>EDIFICACIÓN</t>
  </si>
  <si>
    <t xml:space="preserve">Inspección visual </t>
  </si>
  <si>
    <t>DESAGÛES</t>
  </si>
  <si>
    <t>Inspección visual y entrevista al distribuidor o empleados</t>
  </si>
  <si>
    <t xml:space="preserve">Uso correcto de EPP (zapatos, cascos) y extintores en correctas condiciones
</t>
  </si>
  <si>
    <t xml:space="preserve">Inspección visual, de registros,  y análisis contra picos de temporada de mercadería que requiere cámara.Verificar que la ubicación de la cámara a la zona de descarga no supere los 15min haciendo el recorrido caminando.Verifcar cuantos pallets recibe </t>
  </si>
  <si>
    <t>El equipamiento de manipuleo (apiladora, zorras, carros) permite una operación logística que aprovecha la volumetría del depósito y el nivel de operación que la distribuidora necesita</t>
  </si>
  <si>
    <t xml:space="preserve">Verificación visual y de funcionalidad. Revisar cantidad y características tales como: alcance en altura, ancho de  pasillos, pesos y cargas, tipo de propulsión, ruedas, y aspectos constructivos) </t>
  </si>
  <si>
    <t>VEHÍCULOS</t>
  </si>
  <si>
    <t>Verificación visual del sector de guardado de vehículos</t>
  </si>
  <si>
    <t>Verificación de equipamiento y accesibilidad</t>
  </si>
  <si>
    <t>PLANIFICACIÓN DE COMPRAS</t>
  </si>
  <si>
    <t>Distribucion de compra, en las primeras dos semanas no superior al 70% y no inferior al 60%; y las ultimas dos semana no superiror al 40% y no inferior al 30% de la compra total</t>
  </si>
  <si>
    <t>Se informa/comunica las compras ( de volumen mayor a los normal o excepcionales)a Logística para que pueda planificar la operación de descarga y espacio necesario.(Registro , email, etc)</t>
  </si>
  <si>
    <t>ACTIVACIÓN DEL ABASTECIMIENTO</t>
  </si>
  <si>
    <t xml:space="preserve">El proceso de activación del abastecimiento minimiza arribos imprevistos o demoras exageradas.                             </t>
  </si>
  <si>
    <t>Revisar correos recibidos por el logístico y cualquier contacto  proactivo con Arcor desde el Informe Avanzado de Despacho (IAD), con el transporte para prever horarios de arribo, administrar demoras o adelantos, incluyendo la logística de "última milla"</t>
  </si>
  <si>
    <t xml:space="preserve">El proceso de coordinación del abastecimiento permite planificar recursos para la descarga.                         </t>
  </si>
  <si>
    <t>RECEPCIÓN</t>
  </si>
  <si>
    <t>El proceso de control de recepción garantiza integridad de la mercadería y transmisión a Arcor de discrepancias</t>
  </si>
  <si>
    <t>ORGANIZACIÓN LAY OUT</t>
  </si>
  <si>
    <t>planilla de calculo por medio de la cual analiza el ordenamietno del lay-out</t>
  </si>
  <si>
    <t>IDENTIFICACIÓN LAY OUT</t>
  </si>
  <si>
    <t>Revisión del lay out si las zonas estan delimitadas y demarcadas.
Área de recepción 40 mts2 o 30 pallets en rack disponibles solo para descarga</t>
  </si>
  <si>
    <t>ROTACIÓN</t>
  </si>
  <si>
    <t xml:space="preserve">REPOSICIÓN E INVENTARIOS </t>
  </si>
  <si>
    <t>Revisar método y eventuales documentos o pantallas.
Sugerido: Productos C todo el stock en picking, productos A y B 7 dias de venta y corte por pallet completo</t>
  </si>
  <si>
    <t>TRANSMISIÓN DE PEDIDOS</t>
  </si>
  <si>
    <t>Esquema de corte de pedidos (horario hasta el que los pedidos pueden ser procesados y entregados a 24hs)</t>
  </si>
  <si>
    <t>Revisar listas de consolidados y definición de criterios
El listado de preparacion debe coincidir con el ordenamiento fisico</t>
  </si>
  <si>
    <t>metodo de control de consolidado: el control de consolidado como tarea previo al armado de pedidos o bien un control durante el armado de pedidos (para que esto sea valido cuando se detecta un error debemos identificar la procedencia: revisar los pedidos armados donde el producto se solicita)</t>
  </si>
  <si>
    <t>Revisión de la herramienta que posea el distribuidor (Módulo logístico América, Order Manager o Block).Para validar Arcortruck se considera si lo tiene funcionando o si lo tiene coordinado a la imprementación del mismo.
Utilizar los módulos disponibles de los software para el depósito</t>
  </si>
  <si>
    <t>Revisión documental, Validar que los documentos fueron ajustados al Distribuidor
Consultar que tareas realiza rutinariamente la persona que esta entrevistando, a partir de eso se seleccionaran dos  y se consultará sobre el conocimiento del procedimiento.
Los ocho procedimientos deben tener el formato estandarizado y propuesto por Arcor</t>
  </si>
  <si>
    <t>PLANIFICACIÓN</t>
  </si>
  <si>
    <t xml:space="preserve">Entrevista al personal y eventual verificación documental.
De la reunion con Ventas y Administracion se desprende la planificacion tactica de Logistica </t>
  </si>
  <si>
    <t>Entrevista al personal y eventual verificación documental o visual</t>
  </si>
  <si>
    <t>FORMACIÓN Y DESARROLLO</t>
  </si>
  <si>
    <t>CAPACITACIÓN</t>
  </si>
  <si>
    <t>MEDICIÓN Y MEJORA</t>
  </si>
  <si>
    <t>Revisión documental y entrevistas al personal
Se validará que a mes vencido el controler haya recibido la información del tablero de gastos</t>
  </si>
  <si>
    <t>MÉTODO DE 5"S"</t>
  </si>
  <si>
    <t xml:space="preserve">Deben contar con una planilla de registro de temperaturas discriminando fecha de recepción, tpte, pedido, temperatura, etc. Debe cumplir el rango definido para helados minimo (-15 °C) y para refrigerados (15-25 °C) </t>
  </si>
  <si>
    <t>Revisión visual del producto almacenado.
Porductos bañados, rellenos, alfajores, gomas (no todas) y barras (no todas).
Se consideran los pallets rotos en el sector de almacenamiento y picking
Se verificará que los productos estén retirados de la pared de acuerdo a los establecido en el contenido soporte (45 cm)</t>
  </si>
  <si>
    <t>Verificar registros, revisión visual de sectores y controles.
La planilla debe contar con los registros de temperatura y el promedio diario</t>
  </si>
  <si>
    <t>ILUMINACIÓN</t>
  </si>
  <si>
    <t>Revisión de luminarias y aberturas
Si cuenta con luminarias LED en todos los sectores, no se requiere protección antiestallidos
Contar con la política de vidrio sugerida por Arcor
Corroborar que no existen vidrios rotos en la distribuidora (Ventanas, frascos, POP, etc)
En el caso de detectarse vidrios rotos, se verificará que se haya seguido los pasos de la politica</t>
  </si>
  <si>
    <t>Revisión visual de los productos en despacho. Verificar el cumplimiento del check list
Contar con los registros de temperatura previo a la carga y durante el reparto</t>
  </si>
  <si>
    <t xml:space="preserve">RECHAZOS </t>
  </si>
  <si>
    <t>Devoluciones y Rechazos (Redespachos)
Revisar sector y procesos.</t>
  </si>
  <si>
    <t>Mermas
Revisar registros, sector y procesos.</t>
  </si>
  <si>
    <t>Se cuenta con una metodología que permita realizar la trazabilidad de productos comercializados ante un potencial recall.</t>
  </si>
  <si>
    <t>Verificar existencia del procedimiento definido por Arcor.</t>
  </si>
  <si>
    <t>Revisar sectores y contenedores</t>
  </si>
  <si>
    <t>Revisar sectores. En la zona de carga no debe existir residuos de los vehiculos de carga, barro, lubricante, combustible, etc
Revisión del sector de carga y descarga validando que el sector se encuentra limpio de acuerdo al plan de limpieza y al manejo integrado de plagas</t>
  </si>
  <si>
    <t>#</t>
  </si>
  <si>
    <t>Critico</t>
  </si>
  <si>
    <t>Analisis de stock vs capacidad. Documentos y entrevista con personal</t>
  </si>
  <si>
    <t>Inspección Visual</t>
  </si>
  <si>
    <t>Respecto de las paredes se validará que todas las paredes de la Distribuidora se encuentra revocadas o revestidas con material liso que no permita la acumulación de tierra o plagas</t>
  </si>
  <si>
    <t>Sino cuenta con extractores eolicos, pero se comprueba una temperatura adecuada en base a registros el componente se cumple.</t>
  </si>
  <si>
    <t>Inspección Visual. Verificar que no sean de mercurio</t>
  </si>
  <si>
    <t>Visual: verificar que se usen según reglamentación o evaluación de riesgos.  Verificar si cuentan con stock para visitas. Ver area de guardado</t>
  </si>
  <si>
    <t>Visual: verificar la ubicación de los extintores y su fecha de vencimiento</t>
  </si>
  <si>
    <t>Inspección visual y solicitar inventario en sistema o planilla</t>
  </si>
  <si>
    <t>Inspección visual, de registros,  y análisis contra picos de temporada de mercadería que requiere cámara.
Respecto de las paredes se validará que todas las paredes de la camara se encuentra con aislación termica.
Los únicos termómetros que no se permiten tener colocados son los que contienen mercurio</t>
  </si>
  <si>
    <t>Revisar sectores de descarga, su ubicación y tamaño.</t>
  </si>
  <si>
    <t>Se consulta al distribuidor cual es la ventana horaria para la recepcion</t>
  </si>
  <si>
    <t>Hablar con la gente para ver si se planifica. Quienes estan a cargo de la descarga, cuantas personas son.
En caso de equipos alquilados para descarga, consultar sobre como aseguran la disponibilidad del mismo</t>
  </si>
  <si>
    <t>Revisar sectores de descarga, su ubicación y tamaño. La zona debe estar bien identificada</t>
  </si>
  <si>
    <t>Contar con el procedimiento documentado enviado por Arcor.
El personal responsable de enviar los reclamos deben conocer su existencia y contenido.
Los últimos reclamos enviados deben tener el formato establecido.</t>
  </si>
  <si>
    <t>Evidenciar el registro (escrito o digital) con las unidades vencidas. Detallar cantidad y productos</t>
  </si>
  <si>
    <t>Consultar metodo de informar. Debe contar con una gestion de stock instalada o colocar debajo del film stretch el vencimiento de los productos</t>
  </si>
  <si>
    <t>Revisar registros de inventarios, su frecuencia y las acciones que surjan</t>
  </si>
  <si>
    <t>procedimiento de ruteo, que incluye el responsable y registro. Verificar mediante consultas como se carga la unidad</t>
  </si>
  <si>
    <t>Revisar sector y proceso documentado. Debera presentar documentación con el registro de los rechazos / devoluciones y el motivo</t>
  </si>
  <si>
    <t>12.2.1</t>
  </si>
  <si>
    <t>12.2.2</t>
  </si>
  <si>
    <t>12.2.3</t>
  </si>
  <si>
    <t>12.2.4</t>
  </si>
  <si>
    <t>Revisión documental de los perfiles de puestos y visulizar el organigrama publicado o comunicado de alguna forma.</t>
  </si>
  <si>
    <t>Inspección visual de acciones y del mantenimiento realizado. Visualizar plan documentado del mantenimiento</t>
  </si>
  <si>
    <t>Revisión documental y verificación de evidencias de implementación: Planes de acción, auditorias realizadas por un periodo de 6 meses al menos.
Se realiza inspección visual de las primeras 3 S</t>
  </si>
  <si>
    <t>Revisión visual de instrumentos  y controles de calibración.  Registros de comparación de las mediciones vs el termometro patrón.</t>
  </si>
  <si>
    <t>Revisión visual de 1 o 2 productos almacenados y en picking comparando las fechas de vencimiento. Verificar que entre pallet y producto o caja, haya un cartón.</t>
  </si>
  <si>
    <t>Revisión visual de los productos en despacho y equipamiento. Registros / planillas con seguimiento de la documentación</t>
  </si>
  <si>
    <t>Revisión de planes y registros. Verificar donde se guardan los productos de limpieza</t>
  </si>
  <si>
    <t>Revisión de plan, contrato y de control de habilitaciones al proveedor. Si se evidencian insectos, alimañas, aves, etc., no se cumple con el plan
Revisar 3 anillos de cebaderas (anillo interior solo placa pegamentosa, no venenosa)
Revisar ubicación de trampas UV (Siempre encendidas) y Feromonas en accesos y sector de chocolates, harinas y pastas</t>
  </si>
  <si>
    <t>Comentarios sobre evidencias</t>
  </si>
  <si>
    <t>Categoria Final (con condicionales)</t>
  </si>
  <si>
    <t>Informan mensualmente el tablero logístico a Arcor</t>
  </si>
  <si>
    <t>Este componente se valida con información provista por ARCOR</t>
  </si>
  <si>
    <t>PLAN DE ACCION - AUDITORIA RED ACTIVA 2.0</t>
  </si>
  <si>
    <t>Revisar fecha para actualizar. Completar responsables</t>
  </si>
  <si>
    <t>Tambien manuales</t>
  </si>
  <si>
    <t>buen manuan de procesos y perfiles. Pedir explicación sobre comunicación</t>
  </si>
  <si>
    <t xml:space="preserve">Excelente plan </t>
  </si>
  <si>
    <t xml:space="preserve">Viernes por familia. </t>
  </si>
  <si>
    <t>Se completa en un mes el 100% del deposito</t>
  </si>
  <si>
    <t>Mejorar cerramientos en algunos portones (parte inferior)</t>
  </si>
  <si>
    <t>Mejorar piso en zona de recepción. Se Visualizan grietas</t>
  </si>
  <si>
    <t>Sin alero.</t>
  </si>
  <si>
    <t>Calles de ripio. Usan escolta para cuidar cables y estructuras vecinas.</t>
  </si>
  <si>
    <t>no se visualizan ventanas. Con los portones cerrados se ve oscuro y deben usar luz artificial</t>
  </si>
  <si>
    <t>Quieren implementar una planilla de CRM pero aun no lo hicieron</t>
  </si>
  <si>
    <t>Se envia cada dos meses.  Pero red activa no lo recibe.</t>
  </si>
  <si>
    <t>Mejorar ubicación</t>
  </si>
  <si>
    <t>Se visualiza el POP pesado, junto a mercaderia a procesar.</t>
  </si>
  <si>
    <t>Lo ordena el sistema Ramdon. No se realiza modificación</t>
  </si>
  <si>
    <t>Cartón se desecha en el cesto interno, el resto, debe ser llevado al exterior por el personal</t>
  </si>
  <si>
    <t>Tienen zonade Reasiginados.</t>
  </si>
  <si>
    <t>La calibración de la forma mostrada (rudimentaria, no profesional) deberia tener evidenciado regitros historicos. Se busca la implementación del proceso de contrastación.</t>
  </si>
  <si>
    <t>Incorporar armado de minuta con detalle de participantes, motivo, y luego plasmar en un plan de acción</t>
  </si>
  <si>
    <t>Se observan auditorias de varios meses.</t>
  </si>
  <si>
    <t>No seevidencia el plan de acción por los puntos no cumplidos en la auditoria</t>
  </si>
  <si>
    <t>Se solicita implementar AEREAS para mejorar cobertura</t>
  </si>
  <si>
    <t>COM. ALDO PATRICIO BALKENHOL FLORES EIRL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</si>
</sst>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mmmm\ yyyy"/>
    <numFmt numFmtId="166" formatCode="_-* #,##0.0_-;\-* #,##0.0_-;_-* &quot;-&quot;??_-;_-@_-"/>
    <numFmt numFmtId="167" formatCode="0.000%"/>
  </numFmts>
  <fonts count="49"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8"/>
      <name val="Calibri"/>
      <family val="2"/>
      <scheme val="minor"/>
    </font>
    <font>
      <b/>
      <sz val="16"/>
      <color theme="0"/>
      <name val="Calibri"/>
      <family val="2"/>
      <scheme val="minor"/>
    </font>
    <font>
      <sz val="16"/>
      <color theme="1"/>
      <name val="Calibri"/>
      <family val="2"/>
      <scheme val="minor"/>
    </font>
    <font>
      <sz val="10"/>
      <name val="Arial"/>
      <family val="2"/>
    </font>
    <font>
      <sz val="12"/>
      <color theme="0"/>
      <name val="Calibri"/>
      <family val="2"/>
      <scheme val="minor"/>
    </font>
    <font>
      <sz val="14"/>
      <color theme="0"/>
      <name val="Britannic Bold"/>
      <family val="2"/>
    </font>
    <font>
      <sz val="14"/>
      <color theme="4" tint="-0.499984740745262"/>
      <name val="Britannic Bold"/>
      <family val="2"/>
    </font>
    <font>
      <b/>
      <sz val="12"/>
      <color rgb="FFFF0000"/>
      <name val="Calibri"/>
      <family val="2"/>
      <scheme val="minor"/>
    </font>
    <font>
      <b/>
      <sz val="9"/>
      <color theme="0"/>
      <name val="Calibri"/>
      <family val="2"/>
      <scheme val="minor"/>
    </font>
    <font>
      <b/>
      <sz val="12"/>
      <name val="Calibri"/>
      <family val="2"/>
      <scheme val="minor"/>
    </font>
    <font>
      <b/>
      <sz val="14"/>
      <color theme="0"/>
      <name val="Calibri"/>
      <family val="2"/>
      <scheme val="minor"/>
    </font>
    <font>
      <sz val="14"/>
      <color theme="1"/>
      <name val="Britannic Bold"/>
      <family val="2"/>
    </font>
    <font>
      <b/>
      <sz val="16"/>
      <color theme="1"/>
      <name val="Cambria"/>
      <family val="1"/>
    </font>
    <font>
      <sz val="12"/>
      <color rgb="FFFF0000"/>
      <name val="Calibri"/>
      <family val="2"/>
      <scheme val="minor"/>
    </font>
    <font>
      <b/>
      <sz val="14"/>
      <color theme="1"/>
      <name val="Calibri"/>
      <family val="2"/>
      <scheme val="minor"/>
    </font>
    <font>
      <b/>
      <sz val="48"/>
      <color indexed="8"/>
      <name val="Cambria"/>
      <family val="1"/>
    </font>
    <font>
      <sz val="12"/>
      <color theme="1"/>
      <name val="Aptos Narrow"/>
      <family val="2"/>
    </font>
    <font>
      <sz val="12"/>
      <color theme="1"/>
      <name val="Calibri"/>
      <family val="2"/>
    </font>
    <font>
      <sz val="12"/>
      <color rgb="FF000000"/>
      <name val="Calibri"/>
      <family val="2"/>
    </font>
    <font>
      <sz val="12"/>
      <color theme="0"/>
      <name val="Calibri"/>
      <family val="2"/>
    </font>
    <font>
      <b/>
      <sz val="24"/>
      <color theme="8" tint="-0.499984740745262"/>
      <name val="Calibri"/>
      <family val="2"/>
      <scheme val="minor"/>
    </font>
    <font>
      <b/>
      <sz val="36"/>
      <color theme="9" tint="-0.499984740745262"/>
      <name val="Calibri"/>
      <family val="2"/>
      <scheme val="minor"/>
    </font>
    <font>
      <b/>
      <sz val="28"/>
      <color theme="8" tint="-0.499984740745262"/>
      <name val="Calibri"/>
      <family val="2"/>
      <scheme val="minor"/>
    </font>
    <font>
      <b/>
      <sz val="16"/>
      <color theme="1"/>
      <name val="Calibri"/>
      <family val="2"/>
      <scheme val="minor"/>
    </font>
    <font>
      <b/>
      <sz val="10"/>
      <color theme="1"/>
      <name val="Calibri"/>
      <family val="2"/>
      <scheme val="minor"/>
    </font>
    <font>
      <b/>
      <sz val="18"/>
      <color theme="1"/>
      <name val="Calibri"/>
      <family val="2"/>
      <scheme val="minor"/>
    </font>
    <font>
      <b/>
      <sz val="18"/>
      <color theme="0"/>
      <name val="Calibri"/>
      <family val="2"/>
      <scheme val="minor"/>
    </font>
    <font>
      <b/>
      <sz val="12"/>
      <color theme="0" tint="-0.34998626667073579"/>
      <name val="Calibri"/>
      <family val="2"/>
      <scheme val="minor"/>
    </font>
    <font>
      <sz val="10"/>
      <color theme="1"/>
      <name val="Calibri"/>
      <family val="2"/>
    </font>
    <font>
      <sz val="12"/>
      <name val="Calibri"/>
      <family val="2"/>
      <scheme val="minor"/>
    </font>
    <font>
      <sz val="12"/>
      <color theme="0" tint="-4.9989318521683403E-2"/>
      <name val="Calibri"/>
      <family val="2"/>
      <scheme val="minor"/>
    </font>
    <font>
      <sz val="11"/>
      <name val="Calibri"/>
      <family val="1"/>
    </font>
    <font>
      <sz val="11"/>
      <name val="Calibri"/>
      <family val="2"/>
    </font>
    <font>
      <sz val="12"/>
      <color theme="1"/>
      <name val="Calibri"/>
      <family val="1"/>
      <scheme val="minor"/>
    </font>
    <font>
      <sz val="10"/>
      <name val="Calibri"/>
      <family val="2"/>
      <scheme val="minor"/>
    </font>
    <font>
      <sz val="12"/>
      <name val="Aptos Narrow"/>
      <family val="2"/>
    </font>
    <font>
      <b/>
      <sz val="16"/>
      <color indexed="8"/>
      <name val="Cambria"/>
      <family val="1"/>
    </font>
    <font>
      <sz val="16"/>
      <color indexed="8"/>
      <name val="Calibri"/>
      <family val="2"/>
      <scheme val="minor"/>
    </font>
    <font>
      <b/>
      <sz val="11"/>
      <name val="Calibri"/>
      <family val="2"/>
      <scheme val="minor"/>
    </font>
    <font>
      <b/>
      <sz val="14"/>
      <color indexed="9"/>
      <name val="Calibri"/>
      <family val="2"/>
      <scheme val="minor"/>
    </font>
    <font>
      <b/>
      <sz val="10"/>
      <name val="Calibri"/>
      <family val="2"/>
      <scheme val="minor"/>
    </font>
  </fonts>
  <fills count="2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rgb="FFFFC000"/>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0000"/>
        <bgColor indexed="64"/>
      </patternFill>
    </fill>
    <fill>
      <patternFill patternType="solid">
        <fgColor theme="0" tint="-0.499984740745262"/>
        <bgColor indexed="64"/>
      </patternFill>
    </fill>
    <fill>
      <patternFill patternType="solid">
        <fgColor theme="0"/>
        <bgColor theme="0"/>
      </patternFill>
    </fill>
    <fill>
      <patternFill patternType="solid">
        <fgColor theme="3"/>
        <bgColor indexed="64"/>
      </patternFill>
    </fill>
    <fill>
      <patternFill patternType="solid">
        <fgColor theme="2"/>
        <bgColor indexed="64"/>
      </patternFill>
    </fill>
    <fill>
      <patternFill patternType="solid">
        <fgColor theme="2"/>
        <bgColor rgb="FF1E4E79"/>
      </patternFill>
    </fill>
    <fill>
      <patternFill patternType="solid">
        <fgColor theme="0" tint="-0.499984740745262"/>
        <bgColor rgb="FF1E4E79"/>
      </patternFill>
    </fill>
    <fill>
      <patternFill patternType="solid">
        <fgColor theme="4"/>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4" tint="0.79998168889431442"/>
        <bgColor rgb="FF1E4E79"/>
      </patternFill>
    </fill>
    <fill>
      <patternFill patternType="solid">
        <fgColor rgb="FF00B0F0"/>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right/>
      <top style="dashed">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dashed">
        <color theme="0" tint="-0.14996795556505021"/>
      </left>
      <right style="dashed">
        <color theme="0" tint="-0.14996795556505021"/>
      </right>
      <top style="dashed">
        <color theme="0" tint="-0.14996795556505021"/>
      </top>
      <bottom style="dashed">
        <color theme="0" tint="-0.14996795556505021"/>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dashed">
        <color theme="0" tint="-0.14996795556505021"/>
      </left>
      <right style="dashed">
        <color theme="0" tint="-0.14996795556505021"/>
      </right>
      <top/>
      <bottom style="dashed">
        <color theme="0" tint="-0.14996795556505021"/>
      </bottom>
      <diagonal/>
    </border>
    <border>
      <left style="dashed">
        <color theme="0" tint="-0.14996795556505021"/>
      </left>
      <right style="dashed">
        <color theme="0" tint="-0.14996795556505021"/>
      </right>
      <top style="dashed">
        <color theme="0" tint="-0.14996795556505021"/>
      </top>
      <bottom/>
      <diagonal/>
    </border>
    <border>
      <left style="dashed">
        <color theme="0" tint="-0.14996795556505021"/>
      </left>
      <right style="dashed">
        <color theme="0" tint="-0.14996795556505021"/>
      </right>
      <top/>
      <bottom/>
      <diagonal/>
    </border>
    <border>
      <left style="thick">
        <color theme="0" tint="-0.34998626667073579"/>
      </left>
      <right style="thick">
        <color theme="0" tint="-0.34998626667073579"/>
      </right>
      <top style="thick">
        <color theme="0" tint="-0.34998626667073579"/>
      </top>
      <bottom style="dashed">
        <color theme="0" tint="-0.34998626667073579"/>
      </bottom>
      <diagonal/>
    </border>
    <border>
      <left style="thick">
        <color theme="0" tint="-0.34998626667073579"/>
      </left>
      <right style="thick">
        <color theme="0" tint="-0.34998626667073579"/>
      </right>
      <top style="dashed">
        <color theme="0" tint="-0.34998626667073579"/>
      </top>
      <bottom style="dashed">
        <color theme="0" tint="-0.34998626667073579"/>
      </bottom>
      <diagonal/>
    </border>
    <border>
      <left style="thick">
        <color theme="0" tint="-0.34998626667073579"/>
      </left>
      <right style="thick">
        <color theme="0" tint="-0.34998626667073579"/>
      </right>
      <top style="dashed">
        <color theme="0" tint="-0.34998626667073579"/>
      </top>
      <bottom style="thick">
        <color theme="0" tint="-0.34998626667073579"/>
      </bottom>
      <diagonal/>
    </border>
    <border>
      <left style="medium">
        <color theme="0" tint="-0.34998626667073579"/>
      </left>
      <right style="dashed">
        <color theme="0" tint="-0.34998626667073579"/>
      </right>
      <top style="medium">
        <color theme="0" tint="-0.34998626667073579"/>
      </top>
      <bottom style="dashed">
        <color theme="0" tint="-0.34998626667073579"/>
      </bottom>
      <diagonal/>
    </border>
    <border>
      <left style="dashed">
        <color theme="0" tint="-0.34998626667073579"/>
      </left>
      <right style="medium">
        <color theme="0" tint="-0.34998626667073579"/>
      </right>
      <top style="medium">
        <color theme="0" tint="-0.34998626667073579"/>
      </top>
      <bottom style="dashed">
        <color theme="0" tint="-0.34998626667073579"/>
      </bottom>
      <diagonal/>
    </border>
    <border>
      <left style="medium">
        <color theme="0" tint="-0.34998626667073579"/>
      </left>
      <right style="dashed">
        <color theme="0" tint="-0.34998626667073579"/>
      </right>
      <top style="dashed">
        <color theme="0" tint="-0.34998626667073579"/>
      </top>
      <bottom style="dashed">
        <color theme="0" tint="-0.34998626667073579"/>
      </bottom>
      <diagonal/>
    </border>
    <border>
      <left style="dashed">
        <color theme="0" tint="-0.34998626667073579"/>
      </left>
      <right style="medium">
        <color theme="0" tint="-0.34998626667073579"/>
      </right>
      <top style="dashed">
        <color theme="0" tint="-0.34998626667073579"/>
      </top>
      <bottom style="dashed">
        <color theme="0" tint="-0.34998626667073579"/>
      </bottom>
      <diagonal/>
    </border>
    <border>
      <left style="medium">
        <color theme="0" tint="-0.34998626667073579"/>
      </left>
      <right style="dashed">
        <color theme="0" tint="-0.34998626667073579"/>
      </right>
      <top style="dashed">
        <color theme="0" tint="-0.34998626667073579"/>
      </top>
      <bottom style="medium">
        <color theme="0" tint="-0.34998626667073579"/>
      </bottom>
      <diagonal/>
    </border>
    <border>
      <left style="dashed">
        <color theme="0" tint="-0.34998626667073579"/>
      </left>
      <right style="medium">
        <color theme="0" tint="-0.34998626667073579"/>
      </right>
      <top style="dashed">
        <color theme="0" tint="-0.34998626667073579"/>
      </top>
      <bottom style="medium">
        <color theme="0" tint="-0.34998626667073579"/>
      </bottom>
      <diagonal/>
    </border>
    <border>
      <left style="medium">
        <color theme="0" tint="-0.34998626667073579"/>
      </left>
      <right style="thick">
        <color theme="0" tint="-0.34998626667073579"/>
      </right>
      <top/>
      <bottom style="medium">
        <color theme="0" tint="-0.34998626667073579"/>
      </bottom>
      <diagonal/>
    </border>
    <border>
      <left style="medium">
        <color theme="0" tint="-0.34998626667073579"/>
      </left>
      <right style="dashed">
        <color theme="0" tint="-0.34998626667073579"/>
      </right>
      <top style="medium">
        <color theme="0" tint="-0.34998626667073579"/>
      </top>
      <bottom/>
      <diagonal/>
    </border>
    <border>
      <left style="medium">
        <color theme="0" tint="-0.34998626667073579"/>
      </left>
      <right style="dashed">
        <color theme="0" tint="-0.34998626667073579"/>
      </right>
      <top/>
      <bottom/>
      <diagonal/>
    </border>
    <border>
      <left style="medium">
        <color theme="0" tint="-0.34998626667073579"/>
      </left>
      <right style="dashed">
        <color theme="0" tint="-0.34998626667073579"/>
      </right>
      <top/>
      <bottom style="dashed">
        <color theme="0" tint="-0.34998626667073579"/>
      </bottom>
      <diagonal/>
    </border>
    <border>
      <left style="dashed">
        <color theme="0" tint="-0.34998626667073579"/>
      </left>
      <right style="dashed">
        <color theme="0" tint="-0.34998626667073579"/>
      </right>
      <top style="medium">
        <color theme="0" tint="-0.34998626667073579"/>
      </top>
      <bottom style="dashed">
        <color theme="0" tint="-0.34998626667073579"/>
      </bottom>
      <diagonal/>
    </border>
    <border>
      <left style="dashed">
        <color theme="0" tint="-0.34998626667073579"/>
      </left>
      <right style="dashed">
        <color theme="0" tint="-0.34998626667073579"/>
      </right>
      <top style="dashed">
        <color theme="0" tint="-0.34998626667073579"/>
      </top>
      <bottom style="dashed">
        <color theme="0" tint="-0.34998626667073579"/>
      </bottom>
      <diagonal/>
    </border>
    <border>
      <left style="dashed">
        <color theme="0" tint="-0.34998626667073579"/>
      </left>
      <right style="dashed">
        <color theme="0" tint="-0.34998626667073579"/>
      </right>
      <top style="dashed">
        <color theme="0" tint="-0.34998626667073579"/>
      </top>
      <bottom style="medium">
        <color theme="0" tint="-0.34998626667073579"/>
      </bottom>
      <diagonal/>
    </border>
    <border>
      <left style="dashed">
        <color theme="0" tint="-0.34998626667073579"/>
      </left>
      <right style="thick">
        <color theme="0" tint="-0.34998626667073579"/>
      </right>
      <top style="medium">
        <color theme="0" tint="-0.34998626667073579"/>
      </top>
      <bottom style="dashed">
        <color theme="0" tint="-0.34998626667073579"/>
      </bottom>
      <diagonal/>
    </border>
    <border>
      <left style="dashed">
        <color theme="0" tint="-0.34998626667073579"/>
      </left>
      <right style="thick">
        <color theme="0" tint="-0.34998626667073579"/>
      </right>
      <top style="dashed">
        <color theme="0" tint="-0.34998626667073579"/>
      </top>
      <bottom style="dashed">
        <color theme="0" tint="-0.34998626667073579"/>
      </bottom>
      <diagonal/>
    </border>
    <border>
      <left style="dashed">
        <color theme="0" tint="-0.34998626667073579"/>
      </left>
      <right style="thick">
        <color theme="0" tint="-0.34998626667073579"/>
      </right>
      <top style="dashed">
        <color theme="0" tint="-0.34998626667073579"/>
      </top>
      <bottom style="medium">
        <color theme="0" tint="-0.34998626667073579"/>
      </bottom>
      <diagonal/>
    </border>
    <border>
      <left style="medium">
        <color theme="0" tint="-0.34998626667073579"/>
      </left>
      <right style="dashed">
        <color theme="0" tint="-0.34998626667073579"/>
      </right>
      <top style="dashed">
        <color theme="0" tint="-0.34998626667073579"/>
      </top>
      <bottom/>
      <diagonal/>
    </border>
    <border>
      <left style="dashed">
        <color theme="0" tint="-0.14996795556505021"/>
      </left>
      <right style="dashed">
        <color theme="0" tint="-0.14996795556505021"/>
      </right>
      <top style="dashed">
        <color theme="0" tint="-0.14996795556505021"/>
      </top>
      <bottom style="dashed">
        <color theme="0" tint="-0.14993743705557422"/>
      </bottom>
      <diagonal/>
    </border>
    <border>
      <left style="medium">
        <color theme="0" tint="-0.34998626667073579"/>
      </left>
      <right style="dashed">
        <color theme="0" tint="-0.34998626667073579"/>
      </right>
      <top/>
      <bottom style="medium">
        <color theme="0" tint="-0.34998626667073579"/>
      </bottom>
      <diagonal/>
    </border>
    <border>
      <left/>
      <right/>
      <top/>
      <bottom style="medium">
        <color theme="0" tint="-0.34998626667073579"/>
      </bottom>
      <diagonal/>
    </border>
    <border>
      <left style="dashed">
        <color theme="0" tint="-0.34998626667073579"/>
      </left>
      <right style="dashed">
        <color theme="0" tint="-0.34998626667073579"/>
      </right>
      <top style="dashed">
        <color theme="0" tint="-0.34998626667073579"/>
      </top>
      <bottom/>
      <diagonal/>
    </border>
    <border>
      <left style="dashed">
        <color theme="0" tint="-0.34998626667073579"/>
      </left>
      <right style="dashed">
        <color theme="0" tint="-0.34998626667073579"/>
      </right>
      <top/>
      <bottom/>
      <diagonal/>
    </border>
    <border>
      <left style="dashed">
        <color theme="0" tint="-0.34998626667073579"/>
      </left>
      <right style="dashed">
        <color theme="0" tint="-0.34998626667073579"/>
      </right>
      <top/>
      <bottom style="dashed">
        <color theme="0" tint="-0.34998626667073579"/>
      </bottom>
      <diagonal/>
    </border>
    <border>
      <left/>
      <right/>
      <top/>
      <bottom style="thick">
        <color theme="0" tint="-0.34998626667073579"/>
      </bottom>
      <diagonal/>
    </border>
    <border>
      <left style="medium">
        <color theme="0" tint="-0.34998626667073579"/>
      </left>
      <right style="dashed">
        <color theme="0" tint="-0.34998626667073579"/>
      </right>
      <top/>
      <bottom style="thick">
        <color theme="0" tint="-0.34998626667073579"/>
      </bottom>
      <diagonal/>
    </border>
    <border>
      <left style="dashed">
        <color theme="0" tint="-0.34998626667073579"/>
      </left>
      <right style="dashed">
        <color theme="0" tint="-0.34998626667073579"/>
      </right>
      <top style="dashed">
        <color theme="0" tint="-0.34998626667073579"/>
      </top>
      <bottom style="thick">
        <color theme="0" tint="-0.34998626667073579"/>
      </bottom>
      <diagonal/>
    </border>
    <border>
      <left style="dashed">
        <color theme="0" tint="-0.34998626667073579"/>
      </left>
      <right style="medium">
        <color theme="0" tint="-0.34998626667073579"/>
      </right>
      <top style="dashed">
        <color theme="0" tint="-0.34998626667073579"/>
      </top>
      <bottom style="thick">
        <color theme="0" tint="-0.34998626667073579"/>
      </bottom>
      <diagonal/>
    </border>
    <border>
      <left style="medium">
        <color theme="0" tint="-0.34998626667073579"/>
      </left>
      <right style="dashed">
        <color theme="0" tint="-0.34998626667073579"/>
      </right>
      <top style="dashed">
        <color theme="0" tint="-0.34998626667073579"/>
      </top>
      <bottom style="thick">
        <color theme="0" tint="-0.34998626667073579"/>
      </bottom>
      <diagonal/>
    </border>
    <border>
      <left style="dashed">
        <color theme="0" tint="-0.34998626667073579"/>
      </left>
      <right style="thick">
        <color theme="0" tint="-0.34998626667073579"/>
      </right>
      <top style="dashed">
        <color theme="0" tint="-0.34998626667073579"/>
      </top>
      <bottom style="thick">
        <color theme="0" tint="-0.34998626667073579"/>
      </bottom>
      <diagonal/>
    </border>
    <border>
      <left style="dashed">
        <color theme="2"/>
      </left>
      <right style="dashed">
        <color theme="2"/>
      </right>
      <top style="dashed">
        <color theme="2"/>
      </top>
      <bottom style="dashed">
        <color theme="2"/>
      </bottom>
      <diagonal/>
    </border>
    <border>
      <left style="thin">
        <color theme="0" tint="-0.34998626667073579"/>
      </left>
      <right/>
      <top/>
      <bottom/>
      <diagonal/>
    </border>
    <border>
      <left style="thin">
        <color rgb="FF7F7F7F"/>
      </left>
      <right style="thin">
        <color rgb="FF7F7F7F"/>
      </right>
      <top style="thin">
        <color rgb="FF7F7F7F"/>
      </top>
      <bottom style="thin">
        <color rgb="FF7F7F7F"/>
      </bottom>
      <diagonal/>
    </border>
    <border>
      <left style="dashed">
        <color theme="0" tint="-0.14996795556505021"/>
      </left>
      <right style="dashed">
        <color theme="0" tint="-0.14996795556505021"/>
      </right>
      <top/>
      <bottom style="dashed">
        <color theme="0" tint="-0.14993743705557422"/>
      </bottom>
      <diagonal/>
    </border>
    <border>
      <left style="dashed">
        <color theme="0" tint="-0.14996795556505021"/>
      </left>
      <right style="dashed">
        <color theme="0" tint="-0.14996795556505021"/>
      </right>
      <top style="dashed">
        <color theme="0" tint="-0.14993743705557422"/>
      </top>
      <bottom style="dashed">
        <color theme="0" tint="-0.14993743705557422"/>
      </bottom>
      <diagonal/>
    </border>
    <border>
      <left style="dashed">
        <color theme="0" tint="-0.14996795556505021"/>
      </left>
      <right style="dashed">
        <color theme="0" tint="-0.14996795556505021"/>
      </right>
      <top style="dashed">
        <color theme="0" tint="-0.14993743705557422"/>
      </top>
      <bottom/>
      <diagonal/>
    </border>
    <border>
      <left/>
      <right/>
      <top style="thick">
        <color theme="0" tint="-0.34998626667073579"/>
      </top>
      <bottom/>
      <diagonal/>
    </border>
    <border>
      <left style="thick">
        <color theme="0" tint="-0.34998626667073579"/>
      </left>
      <right style="thick">
        <color theme="0" tint="-0.34998626667073579"/>
      </right>
      <top style="thick">
        <color theme="0" tint="-0.34998626667073579"/>
      </top>
      <bottom/>
      <diagonal/>
    </border>
    <border>
      <left style="thick">
        <color theme="0" tint="-0.34998626667073579"/>
      </left>
      <right style="thick">
        <color theme="0" tint="-0.34998626667073579"/>
      </right>
      <top/>
      <bottom/>
      <diagonal/>
    </border>
    <border>
      <left style="thick">
        <color theme="0" tint="-0.34998626667073579"/>
      </left>
      <right style="thick">
        <color theme="0" tint="-0.34998626667073579"/>
      </right>
      <top/>
      <bottom style="thick">
        <color theme="0" tint="-0.34998626667073579"/>
      </bottom>
      <diagonal/>
    </border>
    <border>
      <left style="medium">
        <color theme="0" tint="-0.34998626667073579"/>
      </left>
      <right style="medium">
        <color theme="0" tint="-0.34998626667073579"/>
      </right>
      <top style="dashed">
        <color theme="0" tint="-0.34998626667073579"/>
      </top>
      <bottom style="medium">
        <color theme="0" tint="-0.34998626667073579"/>
      </bottom>
      <diagonal/>
    </border>
    <border>
      <left style="dashed">
        <color theme="0" tint="-0.34998626667073579"/>
      </left>
      <right style="medium">
        <color theme="0" tint="-0.34998626667073579"/>
      </right>
      <top/>
      <bottom style="dashed">
        <color theme="0" tint="-0.34998626667073579"/>
      </bottom>
      <diagonal/>
    </border>
    <border>
      <left/>
      <right style="thin">
        <color auto="1"/>
      </right>
      <top/>
      <bottom/>
      <diagonal/>
    </border>
    <border>
      <left style="thin">
        <color auto="1"/>
      </left>
      <right/>
      <top/>
      <bottom/>
      <diagonal/>
    </border>
    <border>
      <left style="thin">
        <color theme="0" tint="-0.34998626667073579"/>
      </left>
      <right style="dashed">
        <color theme="0" tint="-0.34998626667073579"/>
      </right>
      <top style="thin">
        <color theme="0" tint="-0.34998626667073579"/>
      </top>
      <bottom style="dashed">
        <color theme="0" tint="-0.34998626667073579"/>
      </bottom>
      <diagonal/>
    </border>
    <border>
      <left style="dashed">
        <color theme="0" tint="-0.34998626667073579"/>
      </left>
      <right style="dashed">
        <color theme="0" tint="-0.34998626667073579"/>
      </right>
      <top style="thin">
        <color theme="0" tint="-0.34998626667073579"/>
      </top>
      <bottom style="dashed">
        <color theme="0" tint="-0.34998626667073579"/>
      </bottom>
      <diagonal/>
    </border>
    <border>
      <left style="dashed">
        <color theme="0" tint="-0.34998626667073579"/>
      </left>
      <right style="thin">
        <color theme="0" tint="-0.34998626667073579"/>
      </right>
      <top style="thin">
        <color theme="0" tint="-0.34998626667073579"/>
      </top>
      <bottom style="dashed">
        <color theme="0" tint="-0.34998626667073579"/>
      </bottom>
      <diagonal/>
    </border>
    <border>
      <left style="thin">
        <color theme="0" tint="-0.34998626667073579"/>
      </left>
      <right style="dashed">
        <color theme="0" tint="-0.34998626667073579"/>
      </right>
      <top style="dashed">
        <color theme="0" tint="-0.34998626667073579"/>
      </top>
      <bottom style="dashed">
        <color theme="0" tint="-0.34998626667073579"/>
      </bottom>
      <diagonal/>
    </border>
    <border>
      <left style="dashed">
        <color theme="0" tint="-0.34998626667073579"/>
      </left>
      <right style="thin">
        <color theme="0" tint="-0.34998626667073579"/>
      </right>
      <top style="dashed">
        <color theme="0" tint="-0.34998626667073579"/>
      </top>
      <bottom style="dashed">
        <color theme="0" tint="-0.34998626667073579"/>
      </bottom>
      <diagonal/>
    </border>
  </borders>
  <cellStyleXfs count="13">
    <xf numFmtId="0" fontId="0" fillId="0" borderId="0"/>
    <xf numFmtId="9" fontId="5" fillId="0" borderId="0" applyFont="0" applyFill="0" applyBorder="0" applyAlignment="0" applyProtection="0"/>
    <xf numFmtId="9" fontId="11" fillId="0" borderId="0" applyFont="0" applyFill="0" applyBorder="0" applyAlignment="0" applyProtection="0"/>
    <xf numFmtId="0" fontId="11" fillId="0" borderId="0"/>
    <xf numFmtId="0" fontId="4" fillId="0" borderId="0"/>
    <xf numFmtId="9" fontId="4" fillId="0" borderId="0" applyFont="0" applyFill="0" applyBorder="0" applyAlignment="0" applyProtection="0"/>
    <xf numFmtId="0" fontId="3" fillId="0" borderId="0"/>
    <xf numFmtId="0" fontId="2" fillId="0" borderId="0"/>
    <xf numFmtId="9" fontId="2" fillId="0" borderId="0" applyFont="0" applyFill="0" applyBorder="0" applyAlignment="0" applyProtection="0"/>
    <xf numFmtId="43" fontId="5"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cellStyleXfs>
  <cellXfs count="427">
    <xf numFmtId="0" fontId="0" fillId="0" borderId="0" xfId="0"/>
    <xf numFmtId="0" fontId="0" fillId="0" borderId="0" xfId="0" applyAlignment="1">
      <alignment horizontal="center" vertical="center"/>
    </xf>
    <xf numFmtId="0" fontId="10" fillId="0" borderId="0" xfId="0" applyFont="1" applyAlignment="1">
      <alignment horizontal="center" vertical="center"/>
    </xf>
    <xf numFmtId="0" fontId="0" fillId="0" borderId="0" xfId="0" applyAlignment="1">
      <alignment horizontal="center"/>
    </xf>
    <xf numFmtId="9" fontId="0" fillId="0" borderId="0" xfId="1" applyFont="1"/>
    <xf numFmtId="0" fontId="14" fillId="6" borderId="3" xfId="0" applyFont="1" applyFill="1" applyBorder="1" applyAlignment="1">
      <alignment horizontal="center" vertical="center"/>
    </xf>
    <xf numFmtId="0" fontId="14" fillId="6" borderId="4" xfId="0" applyFont="1" applyFill="1" applyBorder="1" applyAlignment="1">
      <alignment horizontal="center" vertical="center"/>
    </xf>
    <xf numFmtId="0" fontId="14" fillId="6" borderId="2" xfId="0" applyFont="1" applyFill="1" applyBorder="1" applyAlignment="1">
      <alignment horizontal="center" vertical="center"/>
    </xf>
    <xf numFmtId="0" fontId="15" fillId="0" borderId="0" xfId="0" applyFont="1" applyAlignment="1">
      <alignment horizontal="center" vertical="center"/>
    </xf>
    <xf numFmtId="0" fontId="7" fillId="0" borderId="0" xfId="0" applyFont="1"/>
    <xf numFmtId="0" fontId="13" fillId="7" borderId="3" xfId="0" applyFont="1" applyFill="1" applyBorder="1" applyAlignment="1">
      <alignment horizontal="center" vertical="center"/>
    </xf>
    <xf numFmtId="9" fontId="13" fillId="7" borderId="2" xfId="0" applyNumberFormat="1" applyFont="1" applyFill="1" applyBorder="1" applyAlignment="1">
      <alignment horizontal="center" vertical="center"/>
    </xf>
    <xf numFmtId="9" fontId="13" fillId="7" borderId="4" xfId="0" applyNumberFormat="1" applyFont="1" applyFill="1" applyBorder="1" applyAlignment="1">
      <alignment horizontal="center" vertical="center"/>
    </xf>
    <xf numFmtId="0" fontId="13" fillId="8" borderId="3" xfId="0" applyFont="1" applyFill="1" applyBorder="1" applyAlignment="1">
      <alignment horizontal="center" vertical="center"/>
    </xf>
    <xf numFmtId="0" fontId="13" fillId="8" borderId="2" xfId="0" applyFont="1" applyFill="1" applyBorder="1" applyAlignment="1">
      <alignment horizontal="center" vertical="center"/>
    </xf>
    <xf numFmtId="0" fontId="13" fillId="8" borderId="4" xfId="0" applyFont="1" applyFill="1" applyBorder="1" applyAlignment="1">
      <alignment horizontal="center" vertical="center"/>
    </xf>
    <xf numFmtId="0" fontId="19" fillId="6" borderId="3" xfId="0" applyFont="1" applyFill="1" applyBorder="1" applyAlignment="1">
      <alignment horizontal="center" vertical="center"/>
    </xf>
    <xf numFmtId="0" fontId="19" fillId="6" borderId="2" xfId="0" applyFont="1" applyFill="1" applyBorder="1" applyAlignment="1">
      <alignment horizontal="center" vertical="center"/>
    </xf>
    <xf numFmtId="0" fontId="19" fillId="6" borderId="4" xfId="0" applyFont="1" applyFill="1" applyBorder="1" applyAlignment="1">
      <alignment horizontal="center" vertical="center"/>
    </xf>
    <xf numFmtId="0" fontId="7" fillId="0" borderId="0" xfId="0" applyFont="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6" xfId="0" applyBorder="1" applyAlignment="1">
      <alignment horizontal="center" vertical="center"/>
    </xf>
    <xf numFmtId="0" fontId="0" fillId="0" borderId="21" xfId="0" applyBorder="1" applyAlignment="1">
      <alignment horizontal="center" vertical="center"/>
    </xf>
    <xf numFmtId="16" fontId="0" fillId="0" borderId="1" xfId="0" applyNumberFormat="1" applyBorder="1" applyAlignment="1">
      <alignment horizontal="left" vertical="center"/>
    </xf>
    <xf numFmtId="14" fontId="0" fillId="0" borderId="1" xfId="0" applyNumberFormat="1" applyBorder="1" applyAlignment="1">
      <alignment horizontal="left" vertical="center"/>
    </xf>
    <xf numFmtId="14" fontId="0" fillId="0" borderId="20" xfId="0" applyNumberFormat="1" applyBorder="1" applyAlignment="1">
      <alignment horizontal="left" vertical="center"/>
    </xf>
    <xf numFmtId="0" fontId="0" fillId="0" borderId="20" xfId="0" applyBorder="1" applyAlignment="1">
      <alignment horizontal="left" vertical="center"/>
    </xf>
    <xf numFmtId="0" fontId="0" fillId="0" borderId="20" xfId="0" applyBorder="1" applyAlignment="1">
      <alignment horizontal="center" vertical="center"/>
    </xf>
    <xf numFmtId="0" fontId="0" fillId="0" borderId="17" xfId="0" applyBorder="1" applyAlignment="1">
      <alignment horizontal="center" vertical="center"/>
    </xf>
    <xf numFmtId="0" fontId="0" fillId="0" borderId="17" xfId="0" applyBorder="1" applyAlignment="1">
      <alignment horizontal="left" vertical="center"/>
    </xf>
    <xf numFmtId="14" fontId="0" fillId="0" borderId="17" xfId="0" applyNumberFormat="1" applyBorder="1" applyAlignment="1">
      <alignment horizontal="left" vertical="center"/>
    </xf>
    <xf numFmtId="16" fontId="0" fillId="0" borderId="17" xfId="0" applyNumberFormat="1" applyBorder="1" applyAlignment="1">
      <alignment horizontal="left" vertical="center"/>
    </xf>
    <xf numFmtId="0" fontId="0" fillId="0" borderId="18" xfId="0" applyBorder="1" applyAlignment="1">
      <alignment horizontal="center" vertical="center"/>
    </xf>
    <xf numFmtId="0" fontId="20" fillId="10" borderId="1" xfId="0" applyFont="1" applyFill="1" applyBorder="1" applyAlignment="1">
      <alignment horizontal="center" vertical="center"/>
    </xf>
    <xf numFmtId="0" fontId="0" fillId="0" borderId="22" xfId="0" applyBorder="1" applyAlignment="1">
      <alignment horizontal="left" vertical="center"/>
    </xf>
    <xf numFmtId="0" fontId="0" fillId="0" borderId="15" xfId="0" applyBorder="1" applyAlignment="1">
      <alignment horizontal="left" vertical="center"/>
    </xf>
    <xf numFmtId="0" fontId="0" fillId="0" borderId="15" xfId="0" applyBorder="1"/>
    <xf numFmtId="0" fontId="0" fillId="0" borderId="19" xfId="0" applyBorder="1" applyAlignment="1">
      <alignment horizontal="left" vertical="center"/>
    </xf>
    <xf numFmtId="0" fontId="28" fillId="0" borderId="0" xfId="0" applyFont="1" applyAlignment="1">
      <alignment horizontal="left"/>
    </xf>
    <xf numFmtId="0" fontId="29" fillId="0" borderId="0" xfId="0" applyFont="1" applyAlignment="1">
      <alignment horizontal="left"/>
    </xf>
    <xf numFmtId="0" fontId="7" fillId="0" borderId="23" xfId="0" applyFont="1"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horizontal="left" vertical="center" wrapText="1"/>
    </xf>
    <xf numFmtId="0" fontId="0" fillId="0" borderId="23" xfId="0" applyBorder="1" applyAlignment="1">
      <alignment horizontal="center" vertical="center"/>
    </xf>
    <xf numFmtId="0" fontId="0" fillId="5" borderId="23" xfId="0" applyFill="1" applyBorder="1" applyAlignment="1">
      <alignment horizontal="center" vertical="center" wrapText="1"/>
    </xf>
    <xf numFmtId="0" fontId="0" fillId="5" borderId="23" xfId="0" applyFill="1" applyBorder="1" applyAlignment="1">
      <alignment horizontal="left" vertical="center" wrapText="1"/>
    </xf>
    <xf numFmtId="0" fontId="0" fillId="14" borderId="23" xfId="0" applyFill="1" applyBorder="1" applyAlignment="1">
      <alignment horizontal="center" vertical="center"/>
    </xf>
    <xf numFmtId="165" fontId="0" fillId="0" borderId="23" xfId="0" applyNumberFormat="1" applyBorder="1" applyAlignment="1">
      <alignment horizontal="left" vertical="center" wrapText="1"/>
    </xf>
    <xf numFmtId="0" fontId="18" fillId="15" borderId="13" xfId="0" applyFont="1" applyFill="1" applyBorder="1" applyAlignment="1">
      <alignment horizontal="center" vertical="center"/>
    </xf>
    <xf numFmtId="0" fontId="18" fillId="15" borderId="13" xfId="0" applyFont="1" applyFill="1" applyBorder="1" applyAlignment="1">
      <alignment horizontal="center" vertical="center" wrapText="1"/>
    </xf>
    <xf numFmtId="10" fontId="0" fillId="0" borderId="0" xfId="0" applyNumberFormat="1"/>
    <xf numFmtId="164" fontId="7" fillId="16" borderId="0" xfId="0" applyNumberFormat="1" applyFont="1" applyFill="1" applyAlignment="1">
      <alignment horizontal="center" vertical="center"/>
    </xf>
    <xf numFmtId="0" fontId="22" fillId="16" borderId="13" xfId="0" applyFont="1" applyFill="1" applyBorder="1" applyAlignment="1">
      <alignment horizontal="center" vertical="center"/>
    </xf>
    <xf numFmtId="9" fontId="22" fillId="16" borderId="13" xfId="1" applyFont="1" applyFill="1" applyBorder="1" applyAlignment="1">
      <alignment horizontal="center" vertical="center"/>
    </xf>
    <xf numFmtId="0" fontId="7" fillId="0" borderId="26" xfId="0" applyFont="1" applyBorder="1" applyAlignment="1">
      <alignment horizontal="center" vertical="center" wrapText="1"/>
    </xf>
    <xf numFmtId="0" fontId="12" fillId="0" borderId="26" xfId="0" applyFont="1" applyBorder="1" applyAlignment="1">
      <alignment horizontal="center" vertical="center" wrapText="1"/>
    </xf>
    <xf numFmtId="0" fontId="0" fillId="0" borderId="26" xfId="0" applyBorder="1" applyAlignment="1">
      <alignment horizontal="center" vertical="center" wrapText="1"/>
    </xf>
    <xf numFmtId="0" fontId="0" fillId="0" borderId="26" xfId="0" applyBorder="1" applyAlignment="1">
      <alignment horizontal="left" vertical="center" wrapText="1"/>
    </xf>
    <xf numFmtId="0" fontId="0" fillId="0" borderId="26" xfId="0" applyBorder="1" applyAlignment="1">
      <alignment horizontal="center" vertical="center"/>
    </xf>
    <xf numFmtId="9" fontId="7" fillId="17" borderId="23" xfId="0" applyNumberFormat="1" applyFont="1" applyFill="1" applyBorder="1" applyAlignment="1">
      <alignment horizontal="center" vertical="center"/>
    </xf>
    <xf numFmtId="10" fontId="0" fillId="0" borderId="23" xfId="0" applyNumberFormat="1" applyBorder="1"/>
    <xf numFmtId="0" fontId="16" fillId="13" borderId="23" xfId="0" applyFont="1" applyFill="1" applyBorder="1" applyAlignment="1">
      <alignment horizontal="center" vertical="center"/>
    </xf>
    <xf numFmtId="0" fontId="6" fillId="13" borderId="23" xfId="0" applyFont="1" applyFill="1" applyBorder="1" applyAlignment="1">
      <alignment horizontal="center" vertical="center"/>
    </xf>
    <xf numFmtId="0" fontId="6" fillId="13" borderId="23" xfId="0" applyFont="1" applyFill="1" applyBorder="1" applyAlignment="1">
      <alignment horizontal="center" vertical="center" wrapText="1"/>
    </xf>
    <xf numFmtId="0" fontId="6" fillId="13" borderId="23" xfId="0" applyFont="1" applyFill="1" applyBorder="1" applyAlignment="1">
      <alignment horizontal="centerContinuous" vertical="center" wrapText="1"/>
    </xf>
    <xf numFmtId="9" fontId="6" fillId="18" borderId="23" xfId="0" applyNumberFormat="1" applyFont="1" applyFill="1" applyBorder="1" applyAlignment="1">
      <alignment horizontal="center" vertical="center"/>
    </xf>
    <xf numFmtId="0" fontId="30" fillId="0" borderId="0" xfId="0" applyFont="1" applyAlignment="1">
      <alignment horizontal="left"/>
    </xf>
    <xf numFmtId="0" fontId="25" fillId="0" borderId="23" xfId="0" applyFont="1" applyBorder="1" applyAlignment="1">
      <alignment horizontal="center" vertical="center"/>
    </xf>
    <xf numFmtId="0" fontId="25" fillId="0" borderId="23" xfId="0" applyFont="1" applyBorder="1" applyAlignment="1">
      <alignment horizontal="left" vertical="center" wrapText="1"/>
    </xf>
    <xf numFmtId="0" fontId="25" fillId="0" borderId="23" xfId="0" applyFont="1" applyBorder="1" applyAlignment="1">
      <alignment horizontal="center" vertical="center" wrapText="1"/>
    </xf>
    <xf numFmtId="0" fontId="25" fillId="14" borderId="23" xfId="0" applyFont="1" applyFill="1" applyBorder="1" applyAlignment="1">
      <alignment horizontal="center" vertical="center"/>
    </xf>
    <xf numFmtId="0" fontId="26" fillId="0" borderId="23" xfId="0" applyFont="1" applyBorder="1" applyAlignment="1">
      <alignment horizontal="center"/>
    </xf>
    <xf numFmtId="0" fontId="17" fillId="0" borderId="23" xfId="0" applyFont="1" applyBorder="1" applyAlignment="1">
      <alignment horizontal="center" vertical="center" wrapText="1"/>
    </xf>
    <xf numFmtId="0" fontId="26" fillId="0" borderId="23" xfId="0" applyFont="1" applyBorder="1" applyAlignment="1">
      <alignment horizontal="left" vertical="center" wrapText="1"/>
    </xf>
    <xf numFmtId="0" fontId="27" fillId="0" borderId="23" xfId="0" applyFont="1" applyBorder="1" applyAlignment="1">
      <alignment horizontal="center" vertical="center"/>
    </xf>
    <xf numFmtId="43" fontId="0" fillId="0" borderId="0" xfId="9" applyFont="1"/>
    <xf numFmtId="164" fontId="0" fillId="0" borderId="0" xfId="1" applyNumberFormat="1" applyFont="1"/>
    <xf numFmtId="164" fontId="0" fillId="0" borderId="0" xfId="1" applyNumberFormat="1" applyFont="1" applyAlignment="1">
      <alignment horizontal="center"/>
    </xf>
    <xf numFmtId="0" fontId="17" fillId="16" borderId="23" xfId="0" applyFont="1" applyFill="1" applyBorder="1" applyAlignment="1">
      <alignment horizontal="center" vertical="center"/>
    </xf>
    <xf numFmtId="0" fontId="6" fillId="19" borderId="23" xfId="0" applyFont="1" applyFill="1" applyBorder="1" applyAlignment="1">
      <alignment horizontal="center" vertical="center"/>
    </xf>
    <xf numFmtId="164" fontId="6" fillId="19" borderId="23" xfId="1" applyNumberFormat="1" applyFont="1" applyFill="1" applyBorder="1" applyAlignment="1">
      <alignment horizontal="center" vertical="center"/>
    </xf>
    <xf numFmtId="164" fontId="0" fillId="0" borderId="0" xfId="0" applyNumberFormat="1"/>
    <xf numFmtId="0" fontId="0" fillId="20" borderId="0" xfId="0" applyFill="1"/>
    <xf numFmtId="0" fontId="10" fillId="20" borderId="0" xfId="0" applyFont="1" applyFill="1" applyAlignment="1">
      <alignment horizontal="center" vertical="center"/>
    </xf>
    <xf numFmtId="0" fontId="7" fillId="20" borderId="0" xfId="0" applyFont="1" applyFill="1"/>
    <xf numFmtId="9" fontId="0" fillId="0" borderId="0" xfId="0" applyNumberFormat="1"/>
    <xf numFmtId="0" fontId="32" fillId="2" borderId="29" xfId="0" applyFont="1" applyFill="1" applyBorder="1" applyAlignment="1">
      <alignment vertical="center"/>
    </xf>
    <xf numFmtId="0" fontId="32" fillId="2" borderId="30" xfId="0" applyFont="1" applyFill="1" applyBorder="1" applyAlignment="1">
      <alignment vertical="center"/>
    </xf>
    <xf numFmtId="0" fontId="32" fillId="2" borderId="31" xfId="0" applyFont="1" applyFill="1" applyBorder="1" applyAlignment="1">
      <alignment vertical="center"/>
    </xf>
    <xf numFmtId="0" fontId="0" fillId="21" borderId="0" xfId="0" applyFill="1"/>
    <xf numFmtId="0" fontId="31" fillId="20" borderId="0" xfId="0" applyFont="1" applyFill="1" applyAlignment="1">
      <alignment horizontal="center" vertical="center"/>
    </xf>
    <xf numFmtId="0" fontId="10" fillId="20" borderId="0" xfId="0" applyFont="1" applyFill="1" applyAlignment="1">
      <alignment horizontal="left" vertical="center"/>
    </xf>
    <xf numFmtId="164" fontId="0" fillId="4" borderId="0" xfId="0" applyNumberFormat="1" applyFill="1"/>
    <xf numFmtId="0" fontId="0" fillId="0" borderId="0" xfId="0" applyAlignment="1">
      <alignment vertical="center"/>
    </xf>
    <xf numFmtId="0" fontId="34" fillId="15" borderId="0" xfId="0" applyFont="1" applyFill="1" applyAlignment="1">
      <alignment vertical="center"/>
    </xf>
    <xf numFmtId="0" fontId="0" fillId="20" borderId="0" xfId="0" applyFill="1" applyAlignment="1">
      <alignment horizontal="center"/>
    </xf>
    <xf numFmtId="0" fontId="33" fillId="20" borderId="0" xfId="0" applyFont="1" applyFill="1" applyAlignment="1">
      <alignment vertical="center"/>
    </xf>
    <xf numFmtId="0" fontId="22" fillId="20" borderId="0" xfId="0" applyFont="1" applyFill="1" applyAlignment="1">
      <alignment horizontal="center" vertical="center"/>
    </xf>
    <xf numFmtId="0" fontId="0" fillId="20" borderId="0" xfId="0" applyFill="1" applyAlignment="1">
      <alignment vertical="center"/>
    </xf>
    <xf numFmtId="0" fontId="0" fillId="20" borderId="0" xfId="0" applyFill="1" applyAlignment="1">
      <alignment horizontal="center" vertical="center"/>
    </xf>
    <xf numFmtId="0" fontId="7" fillId="2" borderId="32" xfId="0" applyFont="1" applyFill="1" applyBorder="1" applyAlignment="1">
      <alignment vertical="center"/>
    </xf>
    <xf numFmtId="0" fontId="7" fillId="2" borderId="33" xfId="0" applyFont="1" applyFill="1" applyBorder="1" applyAlignment="1">
      <alignment vertical="center"/>
    </xf>
    <xf numFmtId="0" fontId="7" fillId="2" borderId="34" xfId="0" applyFont="1" applyFill="1" applyBorder="1" applyAlignment="1">
      <alignment vertical="center"/>
    </xf>
    <xf numFmtId="0" fontId="7" fillId="2" borderId="35" xfId="0" applyFont="1" applyFill="1" applyBorder="1" applyAlignment="1">
      <alignment vertical="center"/>
    </xf>
    <xf numFmtId="0" fontId="7" fillId="2" borderId="37" xfId="0" applyFont="1" applyFill="1" applyBorder="1" applyAlignment="1">
      <alignment vertical="center"/>
    </xf>
    <xf numFmtId="0" fontId="34" fillId="15" borderId="0" xfId="0" applyFont="1" applyFill="1" applyAlignment="1">
      <alignment horizontal="center" vertical="center"/>
    </xf>
    <xf numFmtId="0" fontId="7" fillId="20" borderId="32" xfId="0" applyFont="1" applyFill="1" applyBorder="1" applyAlignment="1">
      <alignment horizontal="center" vertical="center"/>
    </xf>
    <xf numFmtId="0" fontId="7" fillId="20" borderId="33" xfId="0" applyFont="1" applyFill="1" applyBorder="1" applyAlignment="1">
      <alignment horizontal="center" vertical="center"/>
    </xf>
    <xf numFmtId="0" fontId="7" fillId="20" borderId="34" xfId="0" applyFont="1" applyFill="1" applyBorder="1" applyAlignment="1">
      <alignment horizontal="center" vertical="center"/>
    </xf>
    <xf numFmtId="0" fontId="7" fillId="20" borderId="35" xfId="0" applyFont="1" applyFill="1" applyBorder="1" applyAlignment="1">
      <alignment horizontal="center" vertical="center"/>
    </xf>
    <xf numFmtId="0" fontId="7" fillId="20" borderId="36" xfId="0" applyFont="1" applyFill="1" applyBorder="1" applyAlignment="1">
      <alignment horizontal="center" vertical="center"/>
    </xf>
    <xf numFmtId="0" fontId="9" fillId="15" borderId="0" xfId="0" applyFont="1" applyFill="1" applyAlignment="1">
      <alignment horizontal="center" vertical="center"/>
    </xf>
    <xf numFmtId="0" fontId="7" fillId="20" borderId="0" xfId="0" applyFont="1" applyFill="1" applyAlignment="1">
      <alignment vertical="center"/>
    </xf>
    <xf numFmtId="9" fontId="0" fillId="20" borderId="0" xfId="0" applyNumberFormat="1" applyFill="1" applyAlignment="1">
      <alignment vertical="center"/>
    </xf>
    <xf numFmtId="0" fontId="7" fillId="2" borderId="32" xfId="0" applyFont="1" applyFill="1" applyBorder="1" applyAlignment="1">
      <alignment horizontal="center" vertical="center"/>
    </xf>
    <xf numFmtId="0" fontId="7" fillId="2" borderId="34" xfId="0" applyFont="1" applyFill="1" applyBorder="1" applyAlignment="1">
      <alignment horizontal="center" vertical="center"/>
    </xf>
    <xf numFmtId="0" fontId="7" fillId="2" borderId="36" xfId="0" applyFont="1" applyFill="1" applyBorder="1" applyAlignment="1">
      <alignment horizontal="center" vertical="center"/>
    </xf>
    <xf numFmtId="0" fontId="21" fillId="20" borderId="0" xfId="0" applyFont="1" applyFill="1"/>
    <xf numFmtId="9" fontId="35" fillId="20" borderId="38" xfId="1" applyFont="1" applyFill="1" applyBorder="1" applyAlignment="1">
      <alignment horizontal="center" vertical="center"/>
    </xf>
    <xf numFmtId="166" fontId="7" fillId="0" borderId="0" xfId="9" applyNumberFormat="1" applyFont="1"/>
    <xf numFmtId="164" fontId="32" fillId="16" borderId="29" xfId="1" applyNumberFormat="1" applyFont="1" applyFill="1" applyBorder="1" applyAlignment="1">
      <alignment horizontal="center" vertical="center"/>
    </xf>
    <xf numFmtId="164" fontId="32" fillId="16" borderId="30" xfId="1" applyNumberFormat="1" applyFont="1" applyFill="1" applyBorder="1" applyAlignment="1">
      <alignment horizontal="center" vertical="center"/>
    </xf>
    <xf numFmtId="164" fontId="32" fillId="16" borderId="31" xfId="1" applyNumberFormat="1" applyFont="1" applyFill="1" applyBorder="1" applyAlignment="1">
      <alignment horizontal="center" vertical="center"/>
    </xf>
    <xf numFmtId="0" fontId="9" fillId="15" borderId="0" xfId="0" applyFont="1" applyFill="1" applyAlignment="1">
      <alignment horizontal="center" vertical="center" wrapText="1"/>
    </xf>
    <xf numFmtId="0" fontId="7" fillId="2" borderId="43" xfId="0" applyFont="1" applyFill="1" applyBorder="1" applyAlignment="1">
      <alignment horizontal="center" vertical="center"/>
    </xf>
    <xf numFmtId="9" fontId="0" fillId="0" borderId="0" xfId="1" applyFont="1" applyAlignment="1">
      <alignment vertical="center"/>
    </xf>
    <xf numFmtId="0" fontId="7" fillId="20" borderId="42" xfId="0" applyFont="1" applyFill="1" applyBorder="1" applyAlignment="1">
      <alignment horizontal="center" vertical="center"/>
    </xf>
    <xf numFmtId="9" fontId="35" fillId="20" borderId="45" xfId="1" applyFont="1" applyFill="1" applyBorder="1" applyAlignment="1">
      <alignment horizontal="center" vertical="center"/>
    </xf>
    <xf numFmtId="0" fontId="7" fillId="20" borderId="43" xfId="0" applyFont="1" applyFill="1" applyBorder="1" applyAlignment="1">
      <alignment horizontal="center" vertical="center"/>
    </xf>
    <xf numFmtId="9" fontId="35" fillId="20" borderId="46" xfId="1" applyFont="1" applyFill="1" applyBorder="1" applyAlignment="1">
      <alignment horizontal="center" vertical="center"/>
    </xf>
    <xf numFmtId="0" fontId="7" fillId="20" borderId="44" xfId="0" applyFont="1" applyFill="1" applyBorder="1" applyAlignment="1">
      <alignment horizontal="center" vertical="center"/>
    </xf>
    <xf numFmtId="9" fontId="35" fillId="20" borderId="47" xfId="1" applyFont="1" applyFill="1" applyBorder="1" applyAlignment="1">
      <alignment horizontal="center" vertical="center"/>
    </xf>
    <xf numFmtId="0" fontId="12" fillId="5" borderId="28" xfId="0" applyFont="1" applyFill="1" applyBorder="1" applyAlignment="1">
      <alignment vertical="center" wrapText="1"/>
    </xf>
    <xf numFmtId="0" fontId="12" fillId="5" borderId="26" xfId="0" applyFont="1" applyFill="1" applyBorder="1" applyAlignment="1">
      <alignment vertical="center" wrapText="1"/>
    </xf>
    <xf numFmtId="0" fontId="12" fillId="0" borderId="27" xfId="0" applyFont="1" applyBorder="1" applyAlignment="1">
      <alignment vertical="center" wrapText="1"/>
    </xf>
    <xf numFmtId="0" fontId="12" fillId="0" borderId="28" xfId="0" applyFont="1" applyBorder="1" applyAlignment="1">
      <alignment vertical="center" wrapText="1"/>
    </xf>
    <xf numFmtId="9" fontId="35" fillId="20" borderId="32" xfId="1" applyFont="1" applyFill="1" applyBorder="1" applyAlignment="1">
      <alignment horizontal="center" vertical="center"/>
    </xf>
    <xf numFmtId="9" fontId="35" fillId="20" borderId="33" xfId="1" applyFont="1" applyFill="1" applyBorder="1" applyAlignment="1">
      <alignment horizontal="center" vertical="center"/>
    </xf>
    <xf numFmtId="9" fontId="35" fillId="20" borderId="34" xfId="1" applyFont="1" applyFill="1" applyBorder="1" applyAlignment="1">
      <alignment horizontal="center" vertical="center"/>
    </xf>
    <xf numFmtId="9" fontId="35" fillId="20" borderId="35" xfId="1" applyFont="1" applyFill="1" applyBorder="1" applyAlignment="1">
      <alignment horizontal="center" vertical="center"/>
    </xf>
    <xf numFmtId="9" fontId="35" fillId="20" borderId="36" xfId="1" applyFont="1" applyFill="1" applyBorder="1" applyAlignment="1">
      <alignment horizontal="center" vertical="center"/>
    </xf>
    <xf numFmtId="9" fontId="35" fillId="20" borderId="37" xfId="1" applyFont="1" applyFill="1" applyBorder="1" applyAlignment="1">
      <alignment horizontal="center" vertical="center"/>
    </xf>
    <xf numFmtId="0" fontId="7" fillId="20" borderId="0" xfId="0" applyFont="1" applyFill="1" applyAlignment="1">
      <alignment horizontal="left"/>
    </xf>
    <xf numFmtId="0" fontId="7" fillId="22" borderId="36" xfId="0" applyFont="1" applyFill="1" applyBorder="1" applyAlignment="1">
      <alignment horizontal="center" vertical="center"/>
    </xf>
    <xf numFmtId="0" fontId="0" fillId="22" borderId="33" xfId="0" applyFill="1" applyBorder="1" applyAlignment="1">
      <alignment horizontal="center" vertical="center"/>
    </xf>
    <xf numFmtId="0" fontId="0" fillId="22" borderId="37" xfId="0" applyFill="1" applyBorder="1" applyAlignment="1">
      <alignment horizontal="center" vertical="center"/>
    </xf>
    <xf numFmtId="0" fontId="0" fillId="2" borderId="33" xfId="0" applyFill="1" applyBorder="1" applyAlignment="1">
      <alignment horizontal="center" vertical="center"/>
    </xf>
    <xf numFmtId="0" fontId="0" fillId="2" borderId="37" xfId="0" applyFill="1" applyBorder="1" applyAlignment="1">
      <alignment horizontal="center" vertical="center"/>
    </xf>
    <xf numFmtId="0" fontId="12" fillId="7" borderId="37" xfId="0" applyFont="1" applyFill="1" applyBorder="1" applyAlignment="1">
      <alignment horizontal="center" vertical="center"/>
    </xf>
    <xf numFmtId="0" fontId="7" fillId="22" borderId="32"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6" xfId="0" applyFont="1" applyFill="1" applyBorder="1" applyAlignment="1">
      <alignment horizontal="center" vertical="center"/>
    </xf>
    <xf numFmtId="0" fontId="36" fillId="0" borderId="0" xfId="0" applyFont="1"/>
    <xf numFmtId="164" fontId="0" fillId="0" borderId="0" xfId="0" applyNumberFormat="1" applyAlignment="1">
      <alignment horizontal="center" vertical="center"/>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12" fillId="0" borderId="26" xfId="0" applyFont="1" applyBorder="1" applyAlignment="1">
      <alignment vertical="center"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37" fillId="0" borderId="28" xfId="0" applyFont="1" applyBorder="1" applyAlignment="1">
      <alignment horizontal="center" vertical="center" wrapText="1"/>
    </xf>
    <xf numFmtId="0" fontId="0" fillId="0" borderId="28" xfId="0" applyBorder="1" applyAlignment="1">
      <alignment horizontal="center" wrapText="1"/>
    </xf>
    <xf numFmtId="0" fontId="0" fillId="0" borderId="28" xfId="0" applyBorder="1" applyAlignment="1">
      <alignment horizontal="center" vertical="top" wrapText="1"/>
    </xf>
    <xf numFmtId="0" fontId="12" fillId="0" borderId="28" xfId="0" applyFont="1" applyBorder="1" applyAlignment="1">
      <alignment horizontal="center" vertical="top" wrapText="1"/>
    </xf>
    <xf numFmtId="0" fontId="0" fillId="0" borderId="27" xfId="0" applyBorder="1" applyAlignment="1">
      <alignment horizontal="center" wrapText="1"/>
    </xf>
    <xf numFmtId="0" fontId="37" fillId="0" borderId="28" xfId="0" applyFont="1" applyBorder="1" applyAlignment="1">
      <alignment horizontal="center" vertical="top" wrapText="1"/>
    </xf>
    <xf numFmtId="0" fontId="12" fillId="0" borderId="27" xfId="0" applyFont="1" applyBorder="1" applyAlignment="1">
      <alignment horizontal="center" wrapText="1"/>
    </xf>
    <xf numFmtId="0" fontId="0" fillId="0" borderId="49" xfId="0" applyBorder="1" applyAlignment="1">
      <alignment horizontal="center" vertical="center" wrapText="1"/>
    </xf>
    <xf numFmtId="0" fontId="37" fillId="0" borderId="27" xfId="0" applyFont="1" applyBorder="1" applyAlignment="1">
      <alignment horizontal="center" vertical="center" wrapText="1"/>
    </xf>
    <xf numFmtId="0" fontId="0" fillId="20" borderId="51" xfId="0" applyFill="1" applyBorder="1" applyAlignment="1">
      <alignment vertical="center"/>
    </xf>
    <xf numFmtId="0" fontId="7" fillId="2" borderId="36" xfId="0" applyFont="1" applyFill="1" applyBorder="1" applyAlignment="1">
      <alignment vertical="center"/>
    </xf>
    <xf numFmtId="0" fontId="7" fillId="20" borderId="37" xfId="0" applyFont="1" applyFill="1" applyBorder="1" applyAlignment="1">
      <alignment horizontal="center" vertical="center"/>
    </xf>
    <xf numFmtId="0" fontId="7" fillId="22" borderId="34" xfId="0" applyFont="1" applyFill="1" applyBorder="1" applyAlignment="1">
      <alignment horizontal="center" vertical="center"/>
    </xf>
    <xf numFmtId="0" fontId="7" fillId="22" borderId="34" xfId="0" applyFont="1" applyFill="1" applyBorder="1" applyAlignment="1">
      <alignment vertical="center"/>
    </xf>
    <xf numFmtId="0" fontId="7" fillId="22" borderId="35" xfId="0" applyFont="1" applyFill="1" applyBorder="1" applyAlignment="1">
      <alignment vertical="center"/>
    </xf>
    <xf numFmtId="0" fontId="7" fillId="20" borderId="43" xfId="0" applyFont="1" applyFill="1" applyBorder="1" applyAlignment="1" applyProtection="1">
      <alignment horizontal="center" vertical="center"/>
      <protection locked="0"/>
    </xf>
    <xf numFmtId="9" fontId="17" fillId="20" borderId="45" xfId="1" applyFont="1" applyFill="1" applyBorder="1" applyAlignment="1" applyProtection="1">
      <alignment horizontal="center" vertical="center"/>
    </xf>
    <xf numFmtId="9" fontId="17" fillId="20" borderId="46" xfId="1" applyFont="1" applyFill="1" applyBorder="1" applyAlignment="1" applyProtection="1">
      <alignment horizontal="center" vertical="center"/>
    </xf>
    <xf numFmtId="0" fontId="7" fillId="2" borderId="57" xfId="0" applyFont="1" applyFill="1" applyBorder="1" applyAlignment="1">
      <alignment horizontal="center" vertical="center"/>
    </xf>
    <xf numFmtId="0" fontId="7" fillId="2" borderId="58" xfId="0" applyFont="1" applyFill="1" applyBorder="1" applyAlignment="1">
      <alignment vertical="center"/>
    </xf>
    <xf numFmtId="0" fontId="0" fillId="20" borderId="55" xfId="0" applyFill="1" applyBorder="1" applyAlignment="1">
      <alignment vertical="center"/>
    </xf>
    <xf numFmtId="0" fontId="7" fillId="20" borderId="59" xfId="0" applyFont="1" applyFill="1" applyBorder="1" applyAlignment="1">
      <alignment horizontal="center" vertical="center"/>
    </xf>
    <xf numFmtId="0" fontId="7" fillId="20" borderId="57" xfId="0" applyFont="1" applyFill="1" applyBorder="1" applyAlignment="1">
      <alignment horizontal="center" vertical="center"/>
    </xf>
    <xf numFmtId="9" fontId="17" fillId="20" borderId="60" xfId="1" applyFont="1" applyFill="1" applyBorder="1" applyAlignment="1" applyProtection="1">
      <alignment horizontal="center" vertical="center"/>
    </xf>
    <xf numFmtId="9" fontId="35" fillId="20" borderId="38" xfId="1" applyFont="1" applyFill="1" applyBorder="1" applyAlignment="1" applyProtection="1">
      <alignment horizontal="center" vertical="center"/>
    </xf>
    <xf numFmtId="0" fontId="32" fillId="20" borderId="61" xfId="0" applyFont="1" applyFill="1" applyBorder="1" applyAlignment="1">
      <alignment horizontal="center"/>
    </xf>
    <xf numFmtId="164" fontId="12" fillId="7" borderId="33" xfId="1" applyNumberFormat="1" applyFont="1" applyFill="1" applyBorder="1" applyAlignment="1">
      <alignment horizontal="center" vertical="center"/>
    </xf>
    <xf numFmtId="0" fontId="38" fillId="0" borderId="0" xfId="0" applyFont="1" applyAlignment="1">
      <alignment vertical="center"/>
    </xf>
    <xf numFmtId="9" fontId="38" fillId="0" borderId="0" xfId="1" applyFont="1" applyAlignment="1" applyProtection="1">
      <alignment vertical="center"/>
    </xf>
    <xf numFmtId="9" fontId="6" fillId="18" borderId="23" xfId="0" applyNumberFormat="1" applyFont="1" applyFill="1"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0" borderId="23" xfId="0" applyBorder="1" applyAlignment="1" applyProtection="1">
      <alignment horizontal="left" vertical="center" wrapText="1"/>
      <protection locked="0"/>
    </xf>
    <xf numFmtId="165" fontId="0" fillId="0" borderId="23" xfId="0" applyNumberFormat="1" applyBorder="1" applyAlignment="1" applyProtection="1">
      <alignment horizontal="left" vertical="center" wrapText="1"/>
      <protection locked="0"/>
    </xf>
    <xf numFmtId="0" fontId="0" fillId="5" borderId="23" xfId="0" applyFill="1" applyBorder="1" applyAlignment="1" applyProtection="1">
      <alignment horizontal="left" vertical="center" wrapText="1"/>
      <protection locked="0"/>
    </xf>
    <xf numFmtId="0" fontId="0" fillId="0" borderId="26" xfId="0" applyBorder="1" applyAlignment="1" applyProtection="1">
      <alignment horizontal="left" vertical="center" wrapText="1"/>
      <protection locked="0"/>
    </xf>
    <xf numFmtId="0" fontId="0" fillId="0" borderId="0" xfId="0" applyAlignment="1">
      <alignment horizontal="left" vertical="center" wrapText="1"/>
    </xf>
    <xf numFmtId="165" fontId="0" fillId="0" borderId="0" xfId="0" applyNumberFormat="1" applyAlignment="1">
      <alignment horizontal="left" vertical="center" wrapText="1"/>
    </xf>
    <xf numFmtId="0" fontId="18" fillId="0" borderId="0" xfId="0" applyFont="1" applyAlignment="1">
      <alignment horizontal="center" vertical="center"/>
    </xf>
    <xf numFmtId="9" fontId="6" fillId="0" borderId="0" xfId="0" applyNumberFormat="1" applyFont="1" applyAlignment="1">
      <alignment horizontal="center" vertical="center"/>
    </xf>
    <xf numFmtId="0" fontId="24" fillId="0" borderId="23" xfId="0" applyFont="1" applyBorder="1" applyAlignment="1">
      <alignment horizontal="left" vertical="center" wrapText="1"/>
    </xf>
    <xf numFmtId="0" fontId="0" fillId="0" borderId="0" xfId="0" applyAlignment="1">
      <alignment horizontal="left"/>
    </xf>
    <xf numFmtId="0" fontId="18" fillId="15" borderId="13" xfId="0" applyFont="1" applyFill="1" applyBorder="1" applyAlignment="1" applyProtection="1">
      <alignment horizontal="center" vertical="center"/>
      <protection locked="0"/>
    </xf>
    <xf numFmtId="0" fontId="18" fillId="15" borderId="13" xfId="0" applyFont="1" applyFill="1" applyBorder="1" applyAlignment="1" applyProtection="1">
      <alignment horizontal="left" vertical="center"/>
      <protection locked="0"/>
    </xf>
    <xf numFmtId="0" fontId="18" fillId="15" borderId="13" xfId="0" applyFont="1" applyFill="1" applyBorder="1" applyAlignment="1" applyProtection="1">
      <alignment vertical="center"/>
      <protection locked="0"/>
    </xf>
    <xf numFmtId="0" fontId="7" fillId="0" borderId="0" xfId="0" applyFont="1" applyAlignment="1" applyProtection="1">
      <alignment horizontal="center"/>
      <protection locked="0"/>
    </xf>
    <xf numFmtId="0" fontId="0" fillId="0" borderId="0" xfId="0" applyAlignment="1" applyProtection="1">
      <alignment horizontal="center" vertical="center"/>
      <protection locked="0"/>
    </xf>
    <xf numFmtId="0" fontId="7" fillId="0" borderId="0" xfId="0" applyFont="1" applyProtection="1">
      <protection locked="0"/>
    </xf>
    <xf numFmtId="0" fontId="0" fillId="0" borderId="0" xfId="0" applyAlignment="1" applyProtection="1">
      <alignment horizontal="left"/>
      <protection locked="0"/>
    </xf>
    <xf numFmtId="0" fontId="6" fillId="13" borderId="23" xfId="0" applyFont="1" applyFill="1" applyBorder="1" applyAlignment="1">
      <alignment horizontal="left" vertical="center"/>
    </xf>
    <xf numFmtId="0" fontId="6" fillId="13" borderId="23" xfId="0" applyFont="1" applyFill="1" applyBorder="1" applyAlignment="1">
      <alignment horizontal="centerContinuous" vertical="center"/>
    </xf>
    <xf numFmtId="0" fontId="6" fillId="13" borderId="23" xfId="0" applyFont="1" applyFill="1" applyBorder="1" applyAlignment="1">
      <alignment vertical="center"/>
    </xf>
    <xf numFmtId="0" fontId="7" fillId="0" borderId="23" xfId="0" applyFont="1" applyBorder="1" applyAlignment="1">
      <alignment horizontal="center" vertical="center"/>
    </xf>
    <xf numFmtId="0" fontId="12" fillId="0" borderId="27" xfId="0" applyFont="1" applyBorder="1" applyAlignment="1">
      <alignment horizontal="center" vertical="center"/>
    </xf>
    <xf numFmtId="0" fontId="0" fillId="0" borderId="23" xfId="0" applyBorder="1" applyAlignment="1">
      <alignment vertical="center" wrapText="1"/>
    </xf>
    <xf numFmtId="0" fontId="12" fillId="0" borderId="28" xfId="0" applyFont="1" applyBorder="1" applyAlignment="1">
      <alignment horizontal="center" vertical="center"/>
    </xf>
    <xf numFmtId="0" fontId="37" fillId="0" borderId="28" xfId="0" applyFont="1" applyBorder="1" applyAlignment="1">
      <alignment horizontal="center" vertical="center"/>
    </xf>
    <xf numFmtId="0" fontId="12" fillId="0" borderId="26" xfId="0" applyFont="1" applyBorder="1" applyAlignment="1">
      <alignment horizontal="center" vertical="center"/>
    </xf>
    <xf numFmtId="0" fontId="39" fillId="0" borderId="23" xfId="0" applyFont="1" applyBorder="1" applyAlignment="1">
      <alignment vertical="center" wrapText="1"/>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8" xfId="0" applyBorder="1" applyAlignment="1">
      <alignment horizontal="center"/>
    </xf>
    <xf numFmtId="0" fontId="0" fillId="0" borderId="28" xfId="0" applyBorder="1" applyAlignment="1">
      <alignment horizontal="center" vertical="top"/>
    </xf>
    <xf numFmtId="0" fontId="6" fillId="13" borderId="23" xfId="0" applyFont="1" applyFill="1" applyBorder="1" applyAlignment="1">
      <alignment horizontal="left" vertical="center" wrapText="1"/>
    </xf>
    <xf numFmtId="0" fontId="6" fillId="13" borderId="23" xfId="0" applyFont="1" applyFill="1" applyBorder="1" applyAlignment="1">
      <alignment vertical="center" wrapText="1"/>
    </xf>
    <xf numFmtId="0" fontId="25" fillId="0" borderId="63" xfId="0" applyFont="1" applyBorder="1" applyAlignment="1">
      <alignment horizontal="center" vertical="center" wrapText="1"/>
    </xf>
    <xf numFmtId="0" fontId="41" fillId="0" borderId="23" xfId="0" applyFont="1" applyBorder="1" applyAlignment="1">
      <alignment vertical="center" wrapText="1"/>
    </xf>
    <xf numFmtId="0" fontId="12" fillId="0" borderId="28" xfId="0" applyFont="1" applyBorder="1" applyAlignment="1">
      <alignment horizontal="center" vertical="top"/>
    </xf>
    <xf numFmtId="0" fontId="12" fillId="0" borderId="27" xfId="0" applyFont="1" applyBorder="1" applyAlignment="1">
      <alignment horizontal="center"/>
    </xf>
    <xf numFmtId="0" fontId="37" fillId="0" borderId="28" xfId="0" applyFont="1" applyBorder="1" applyAlignment="1">
      <alignment horizontal="center" vertical="top"/>
    </xf>
    <xf numFmtId="0" fontId="37" fillId="0" borderId="27" xfId="0" applyFont="1" applyBorder="1" applyAlignment="1">
      <alignment horizontal="center" vertical="center"/>
    </xf>
    <xf numFmtId="0" fontId="12" fillId="0" borderId="26" xfId="0" applyFont="1" applyBorder="1" applyAlignment="1">
      <alignment vertical="center"/>
    </xf>
    <xf numFmtId="0" fontId="7" fillId="0" borderId="26" xfId="0" applyFont="1" applyBorder="1" applyAlignment="1">
      <alignment horizontal="center" vertical="center"/>
    </xf>
    <xf numFmtId="0" fontId="0" fillId="0" borderId="49" xfId="0" applyBorder="1" applyAlignment="1">
      <alignment horizontal="center" vertical="center"/>
    </xf>
    <xf numFmtId="0" fontId="25" fillId="0" borderId="23" xfId="0" applyFont="1" applyBorder="1" applyAlignment="1">
      <alignment vertical="center" wrapText="1"/>
    </xf>
    <xf numFmtId="0" fontId="17" fillId="0" borderId="23" xfId="0" applyFont="1" applyBorder="1" applyAlignment="1">
      <alignment horizontal="center" vertical="center"/>
    </xf>
    <xf numFmtId="0" fontId="0" fillId="0" borderId="27" xfId="0" applyBorder="1" applyAlignment="1">
      <alignment horizontal="center"/>
    </xf>
    <xf numFmtId="0" fontId="12" fillId="0" borderId="27" xfId="0" applyFont="1" applyBorder="1" applyAlignment="1">
      <alignment vertical="center"/>
    </xf>
    <xf numFmtId="0" fontId="12" fillId="0" borderId="28" xfId="0" applyFont="1" applyBorder="1" applyAlignment="1">
      <alignment vertical="center"/>
    </xf>
    <xf numFmtId="0" fontId="12" fillId="5" borderId="28" xfId="0" applyFont="1" applyFill="1" applyBorder="1" applyAlignment="1">
      <alignment vertical="center"/>
    </xf>
    <xf numFmtId="0" fontId="12" fillId="5" borderId="26" xfId="0" applyFont="1" applyFill="1" applyBorder="1" applyAlignment="1">
      <alignment vertical="center"/>
    </xf>
    <xf numFmtId="164" fontId="12" fillId="0" borderId="0" xfId="0" applyNumberFormat="1" applyFont="1" applyAlignment="1">
      <alignment horizontal="center" vertical="center"/>
    </xf>
    <xf numFmtId="0" fontId="12" fillId="0" borderId="0" xfId="0" applyFont="1" applyAlignment="1">
      <alignment horizontal="center" vertical="center"/>
    </xf>
    <xf numFmtId="0" fontId="37" fillId="0" borderId="23" xfId="0" applyFont="1" applyBorder="1" applyAlignment="1">
      <alignment horizontal="left" vertical="center" wrapText="1"/>
    </xf>
    <xf numFmtId="0" fontId="37" fillId="5" borderId="23" xfId="0" applyFont="1" applyFill="1" applyBorder="1" applyAlignment="1">
      <alignment horizontal="left" vertical="center" wrapText="1"/>
    </xf>
    <xf numFmtId="0" fontId="10" fillId="0" borderId="6" xfId="0" applyFont="1" applyBorder="1"/>
    <xf numFmtId="0" fontId="10" fillId="0" borderId="8" xfId="0" applyFont="1" applyBorder="1"/>
    <xf numFmtId="0" fontId="10" fillId="0" borderId="10" xfId="0" applyFont="1" applyBorder="1" applyAlignment="1">
      <alignment horizontal="center" vertical="center"/>
    </xf>
    <xf numFmtId="0" fontId="31" fillId="9" borderId="14" xfId="0" applyFont="1" applyFill="1" applyBorder="1" applyAlignment="1">
      <alignment horizontal="center" vertical="center"/>
    </xf>
    <xf numFmtId="0" fontId="31" fillId="5" borderId="1" xfId="0" applyFont="1" applyFill="1" applyBorder="1" applyAlignment="1">
      <alignment horizontal="center"/>
    </xf>
    <xf numFmtId="0" fontId="10" fillId="0" borderId="1" xfId="0" applyFont="1" applyBorder="1" applyAlignment="1">
      <alignment horizontal="center"/>
    </xf>
    <xf numFmtId="9" fontId="10" fillId="0" borderId="1" xfId="5" applyFont="1" applyBorder="1" applyAlignment="1">
      <alignment horizontal="center"/>
    </xf>
    <xf numFmtId="16" fontId="10" fillId="0" borderId="14" xfId="0" applyNumberFormat="1" applyFont="1" applyBorder="1" applyAlignment="1">
      <alignment horizontal="center" vertical="center"/>
    </xf>
    <xf numFmtId="0" fontId="9" fillId="11" borderId="1" xfId="0" applyFont="1" applyFill="1" applyBorder="1" applyAlignment="1">
      <alignment horizontal="center" vertical="center"/>
    </xf>
    <xf numFmtId="0" fontId="10" fillId="0" borderId="1" xfId="0" applyFont="1" applyBorder="1" applyAlignment="1">
      <alignment horizontal="center" vertical="center"/>
    </xf>
    <xf numFmtId="9" fontId="10" fillId="0" borderId="1" xfId="5" applyFont="1" applyBorder="1" applyAlignment="1">
      <alignment horizontal="center" vertical="center"/>
    </xf>
    <xf numFmtId="0" fontId="31" fillId="9" borderId="1" xfId="0" applyFont="1" applyFill="1" applyBorder="1" applyAlignment="1">
      <alignment horizontal="center" vertical="center"/>
    </xf>
    <xf numFmtId="0" fontId="10" fillId="0" borderId="5" xfId="0" applyFont="1" applyBorder="1" applyAlignment="1">
      <alignment horizontal="center" vertical="center"/>
    </xf>
    <xf numFmtId="0" fontId="10" fillId="0" borderId="10" xfId="0" applyFont="1" applyBorder="1"/>
    <xf numFmtId="0" fontId="10" fillId="0" borderId="0" xfId="0" applyFont="1" applyAlignment="1">
      <alignment horizontal="center"/>
    </xf>
    <xf numFmtId="0" fontId="10" fillId="0" borderId="0" xfId="0" applyFont="1"/>
    <xf numFmtId="0" fontId="9" fillId="12" borderId="1" xfId="0" applyFont="1" applyFill="1" applyBorder="1" applyAlignment="1">
      <alignment horizontal="center" vertical="center"/>
    </xf>
    <xf numFmtId="0" fontId="10" fillId="0" borderId="5" xfId="0" applyFont="1" applyBorder="1" applyAlignment="1">
      <alignment horizontal="center"/>
    </xf>
    <xf numFmtId="0" fontId="9" fillId="13" borderId="1" xfId="0" applyFont="1" applyFill="1" applyBorder="1" applyAlignment="1">
      <alignment horizontal="center" vertical="center"/>
    </xf>
    <xf numFmtId="0" fontId="10" fillId="10" borderId="1" xfId="0" applyFont="1" applyFill="1" applyBorder="1" applyAlignment="1">
      <alignment horizontal="center" vertical="center"/>
    </xf>
    <xf numFmtId="9" fontId="10" fillId="10" borderId="1" xfId="5" applyFont="1" applyFill="1" applyBorder="1" applyAlignment="1">
      <alignment horizontal="center" vertical="center"/>
    </xf>
    <xf numFmtId="14" fontId="44" fillId="5" borderId="0" xfId="3" applyNumberFormat="1" applyFont="1" applyFill="1" applyAlignment="1">
      <alignment vertical="center"/>
    </xf>
    <xf numFmtId="14" fontId="44" fillId="5" borderId="5" xfId="3" applyNumberFormat="1" applyFont="1" applyFill="1" applyBorder="1" applyAlignment="1">
      <alignment vertical="center"/>
    </xf>
    <xf numFmtId="0" fontId="31" fillId="5" borderId="11" xfId="0" applyFont="1" applyFill="1" applyBorder="1" applyAlignment="1">
      <alignment horizontal="center"/>
    </xf>
    <xf numFmtId="0" fontId="10" fillId="0" borderId="9" xfId="0" applyFont="1" applyBorder="1" applyAlignment="1">
      <alignment horizontal="center"/>
    </xf>
    <xf numFmtId="9" fontId="10" fillId="0" borderId="9" xfId="5" applyFont="1" applyBorder="1" applyAlignment="1">
      <alignment horizontal="center"/>
    </xf>
    <xf numFmtId="0" fontId="10" fillId="0" borderId="9" xfId="0" applyFont="1" applyBorder="1" applyAlignment="1">
      <alignment horizontal="center" vertical="center"/>
    </xf>
    <xf numFmtId="16" fontId="10" fillId="0" borderId="9" xfId="0" applyNumberFormat="1" applyFont="1" applyBorder="1" applyAlignment="1">
      <alignment horizontal="center" vertical="center"/>
    </xf>
    <xf numFmtId="0" fontId="10" fillId="0" borderId="12" xfId="0" applyFont="1" applyBorder="1" applyAlignment="1">
      <alignment horizontal="center" vertical="center"/>
    </xf>
    <xf numFmtId="0" fontId="45" fillId="3" borderId="14" xfId="3" applyFont="1" applyFill="1" applyBorder="1" applyAlignment="1" applyProtection="1">
      <alignment horizontal="center" vertical="center"/>
      <protection locked="0"/>
    </xf>
    <xf numFmtId="0" fontId="12" fillId="5" borderId="28" xfId="0" applyFont="1" applyFill="1" applyBorder="1" applyAlignment="1">
      <alignment horizontal="center" vertical="center" wrapText="1"/>
    </xf>
    <xf numFmtId="0" fontId="18" fillId="15" borderId="0" xfId="0" applyFont="1" applyFill="1" applyAlignment="1">
      <alignment horizontal="center"/>
    </xf>
    <xf numFmtId="0" fontId="22" fillId="16" borderId="62" xfId="0" applyFont="1" applyFill="1" applyBorder="1" applyAlignment="1">
      <alignment vertical="center"/>
    </xf>
    <xf numFmtId="0" fontId="22" fillId="16" borderId="0" xfId="0" applyFont="1" applyFill="1" applyAlignment="1">
      <alignment vertical="center"/>
    </xf>
    <xf numFmtId="164" fontId="7" fillId="17" borderId="23" xfId="0" applyNumberFormat="1" applyFont="1" applyFill="1" applyBorder="1" applyAlignment="1">
      <alignment horizontal="center" vertical="center"/>
    </xf>
    <xf numFmtId="0" fontId="37" fillId="0" borderId="49" xfId="0" applyFont="1" applyBorder="1" applyAlignment="1">
      <alignment horizontal="center" vertical="center" wrapText="1"/>
    </xf>
    <xf numFmtId="0" fontId="22" fillId="16" borderId="13" xfId="0" applyFont="1" applyFill="1" applyBorder="1" applyAlignment="1">
      <alignment horizontal="left" vertical="center"/>
    </xf>
    <xf numFmtId="0" fontId="12" fillId="0" borderId="64" xfId="0" applyFont="1" applyBorder="1" applyAlignment="1">
      <alignment horizontal="center" vertical="center" wrapText="1"/>
    </xf>
    <xf numFmtId="0" fontId="0" fillId="12" borderId="23" xfId="0" applyFill="1" applyBorder="1" applyAlignment="1">
      <alignment horizontal="left" vertical="center" wrapText="1"/>
    </xf>
    <xf numFmtId="0" fontId="17" fillId="2" borderId="23" xfId="0" applyFont="1" applyFill="1" applyBorder="1" applyAlignment="1">
      <alignment horizontal="center" vertical="center"/>
    </xf>
    <xf numFmtId="0" fontId="17" fillId="2" borderId="23" xfId="0" applyFont="1" applyFill="1" applyBorder="1" applyAlignment="1">
      <alignment horizontal="center" vertical="center" wrapText="1"/>
    </xf>
    <xf numFmtId="0" fontId="17" fillId="2" borderId="23" xfId="0" applyFont="1" applyFill="1" applyBorder="1" applyAlignment="1">
      <alignment horizontal="centerContinuous" vertical="center" wrapText="1"/>
    </xf>
    <xf numFmtId="10" fontId="17" fillId="23" borderId="23" xfId="0" applyNumberFormat="1" applyFont="1" applyFill="1" applyBorder="1" applyAlignment="1">
      <alignment horizontal="center" vertical="center"/>
    </xf>
    <xf numFmtId="9" fontId="17" fillId="23" borderId="23" xfId="0" applyNumberFormat="1" applyFont="1" applyFill="1" applyBorder="1" applyAlignment="1">
      <alignment horizontal="center" vertical="center"/>
    </xf>
    <xf numFmtId="9" fontId="17" fillId="23" borderId="23" xfId="0" applyNumberFormat="1" applyFont="1" applyFill="1" applyBorder="1" applyAlignment="1" applyProtection="1">
      <alignment horizontal="center" vertical="center"/>
      <protection locked="0"/>
    </xf>
    <xf numFmtId="0" fontId="17" fillId="2" borderId="23" xfId="0" applyFont="1" applyFill="1" applyBorder="1" applyAlignment="1">
      <alignment horizontal="left" vertical="center"/>
    </xf>
    <xf numFmtId="0" fontId="12" fillId="0" borderId="27" xfId="0" applyFont="1" applyBorder="1" applyAlignment="1">
      <alignment horizontal="left" vertical="center" wrapText="1"/>
    </xf>
    <xf numFmtId="0" fontId="37" fillId="0" borderId="28" xfId="0" applyFont="1" applyBorder="1" applyAlignment="1">
      <alignment horizontal="left" vertical="center" wrapText="1"/>
    </xf>
    <xf numFmtId="0" fontId="12" fillId="0" borderId="28" xfId="0" applyFont="1" applyBorder="1" applyAlignment="1">
      <alignment horizontal="left" vertical="center" wrapText="1"/>
    </xf>
    <xf numFmtId="0" fontId="37" fillId="0" borderId="49" xfId="0" applyFont="1" applyBorder="1" applyAlignment="1">
      <alignment horizontal="left" vertical="center" wrapText="1"/>
    </xf>
    <xf numFmtId="0" fontId="12" fillId="0" borderId="26" xfId="0" applyFont="1" applyBorder="1" applyAlignment="1">
      <alignment horizontal="left" vertical="center" wrapText="1"/>
    </xf>
    <xf numFmtId="0" fontId="0" fillId="0" borderId="0" xfId="0" applyAlignment="1">
      <alignment horizontal="left" vertical="center"/>
    </xf>
    <xf numFmtId="0" fontId="12" fillId="0" borderId="64" xfId="0" applyFont="1" applyBorder="1" applyAlignment="1">
      <alignment horizontal="left" vertical="center" wrapText="1"/>
    </xf>
    <xf numFmtId="0" fontId="37" fillId="0" borderId="65" xfId="0" applyFont="1" applyBorder="1" applyAlignment="1">
      <alignment horizontal="left" vertical="center" wrapText="1"/>
    </xf>
    <xf numFmtId="0" fontId="37" fillId="0" borderId="27" xfId="0" applyFont="1" applyBorder="1" applyAlignment="1">
      <alignment horizontal="left" vertical="center" wrapText="1"/>
    </xf>
    <xf numFmtId="0" fontId="0" fillId="0" borderId="0" xfId="0" applyAlignment="1">
      <alignment horizontal="center" vertical="center" wrapText="1"/>
    </xf>
    <xf numFmtId="0" fontId="0" fillId="0" borderId="64" xfId="0" applyBorder="1" applyAlignment="1">
      <alignment vertical="center" wrapText="1"/>
    </xf>
    <xf numFmtId="0" fontId="37" fillId="0" borderId="64" xfId="0" applyFont="1" applyBorder="1" applyAlignment="1">
      <alignment horizontal="left" vertical="center" wrapText="1"/>
    </xf>
    <xf numFmtId="0" fontId="0" fillId="0" borderId="27" xfId="0" applyBorder="1" applyAlignment="1">
      <alignment vertical="center" wrapText="1"/>
    </xf>
    <xf numFmtId="0" fontId="12" fillId="0" borderId="66" xfId="0" applyFont="1" applyBorder="1" applyAlignment="1">
      <alignment horizontal="left" vertical="center" wrapText="1"/>
    </xf>
    <xf numFmtId="164" fontId="0" fillId="0" borderId="23" xfId="0" applyNumberFormat="1" applyBorder="1"/>
    <xf numFmtId="10" fontId="0" fillId="0" borderId="0" xfId="0" applyNumberFormat="1" applyAlignment="1">
      <alignment horizontal="center" vertical="center"/>
    </xf>
    <xf numFmtId="0" fontId="0" fillId="20" borderId="55" xfId="0" applyFill="1" applyBorder="1"/>
    <xf numFmtId="164" fontId="0" fillId="20" borderId="0" xfId="0" applyNumberFormat="1" applyFill="1"/>
    <xf numFmtId="0" fontId="7" fillId="2" borderId="41" xfId="0" applyFont="1" applyFill="1" applyBorder="1" applyAlignment="1">
      <alignment horizontal="center" vertical="center"/>
    </xf>
    <xf numFmtId="0" fontId="7" fillId="2" borderId="41" xfId="0" applyFont="1" applyFill="1" applyBorder="1" applyAlignment="1">
      <alignment vertical="center"/>
    </xf>
    <xf numFmtId="0" fontId="7" fillId="2" borderId="72" xfId="0" applyFont="1" applyFill="1" applyBorder="1" applyAlignment="1">
      <alignment vertical="center"/>
    </xf>
    <xf numFmtId="0" fontId="7" fillId="20" borderId="41" xfId="0" applyFont="1" applyFill="1" applyBorder="1" applyAlignment="1">
      <alignment horizontal="center" vertical="center"/>
    </xf>
    <xf numFmtId="0" fontId="7" fillId="20" borderId="71" xfId="0" applyFont="1" applyFill="1" applyBorder="1" applyAlignment="1">
      <alignment horizontal="center" vertical="center"/>
    </xf>
    <xf numFmtId="0" fontId="0" fillId="4" borderId="0" xfId="0" applyFill="1"/>
    <xf numFmtId="166" fontId="7" fillId="4" borderId="0" xfId="9" applyNumberFormat="1" applyFont="1" applyFill="1"/>
    <xf numFmtId="0" fontId="0" fillId="21" borderId="23" xfId="0" applyFill="1" applyBorder="1" applyAlignment="1">
      <alignment horizontal="left" vertical="center" wrapText="1"/>
    </xf>
    <xf numFmtId="0" fontId="0" fillId="19" borderId="23" xfId="0" applyFill="1" applyBorder="1" applyAlignment="1">
      <alignment horizontal="center" vertical="center" wrapText="1"/>
    </xf>
    <xf numFmtId="0" fontId="0" fillId="19" borderId="23" xfId="0" applyFill="1" applyBorder="1" applyAlignment="1">
      <alignment horizontal="left" vertical="center" wrapText="1"/>
    </xf>
    <xf numFmtId="0" fontId="0" fillId="19" borderId="26" xfId="0" applyFill="1" applyBorder="1" applyAlignment="1">
      <alignment horizontal="center" vertical="center" wrapText="1"/>
    </xf>
    <xf numFmtId="0" fontId="0" fillId="19" borderId="26" xfId="0" applyFill="1" applyBorder="1" applyAlignment="1">
      <alignment horizontal="left" vertical="center" wrapText="1"/>
    </xf>
    <xf numFmtId="0" fontId="37" fillId="19" borderId="23" xfId="0" applyFont="1" applyFill="1" applyBorder="1" applyAlignment="1">
      <alignment horizontal="center" vertical="center" wrapText="1"/>
    </xf>
    <xf numFmtId="0" fontId="6" fillId="15" borderId="0" xfId="0" applyFont="1" applyFill="1" applyAlignment="1">
      <alignment horizontal="center"/>
    </xf>
    <xf numFmtId="43" fontId="0" fillId="0" borderId="0" xfId="0" applyNumberFormat="1"/>
    <xf numFmtId="0" fontId="7" fillId="20" borderId="73" xfId="0" applyFont="1" applyFill="1" applyBorder="1" applyAlignment="1">
      <alignment horizontal="center" vertical="center"/>
    </xf>
    <xf numFmtId="0" fontId="0" fillId="20" borderId="74" xfId="0" applyFill="1" applyBorder="1" applyAlignment="1">
      <alignment horizontal="center" vertical="center"/>
    </xf>
    <xf numFmtId="0" fontId="0" fillId="20" borderId="73" xfId="0" applyFill="1" applyBorder="1" applyAlignment="1">
      <alignment horizontal="center" vertical="center"/>
    </xf>
    <xf numFmtId="164" fontId="7" fillId="2" borderId="33" xfId="1" applyNumberFormat="1" applyFont="1" applyFill="1" applyBorder="1" applyAlignment="1">
      <alignment horizontal="center" vertical="center"/>
    </xf>
    <xf numFmtId="0" fontId="7" fillId="2" borderId="37" xfId="0" applyFont="1" applyFill="1" applyBorder="1" applyAlignment="1">
      <alignment horizontal="center" vertical="center"/>
    </xf>
    <xf numFmtId="0" fontId="21" fillId="0" borderId="0" xfId="0" applyFont="1" applyAlignment="1">
      <alignment horizontal="center"/>
    </xf>
    <xf numFmtId="0" fontId="7" fillId="2" borderId="32" xfId="0" applyFont="1" applyFill="1" applyBorder="1" applyAlignment="1">
      <alignment horizontal="centerContinuous" vertical="center"/>
    </xf>
    <xf numFmtId="164" fontId="7" fillId="2" borderId="33" xfId="1" applyNumberFormat="1" applyFont="1" applyFill="1" applyBorder="1" applyAlignment="1">
      <alignment horizontal="centerContinuous" vertical="center"/>
    </xf>
    <xf numFmtId="164" fontId="7" fillId="2" borderId="36" xfId="0" applyNumberFormat="1" applyFont="1" applyFill="1" applyBorder="1" applyAlignment="1">
      <alignment horizontal="center" vertical="center"/>
    </xf>
    <xf numFmtId="43" fontId="0" fillId="0" borderId="0" xfId="9" applyFont="1" applyAlignment="1">
      <alignment horizontal="center" vertical="center"/>
    </xf>
    <xf numFmtId="167" fontId="0" fillId="0" borderId="23" xfId="0" applyNumberFormat="1" applyBorder="1"/>
    <xf numFmtId="10" fontId="18" fillId="11" borderId="0" xfId="0" applyNumberFormat="1" applyFont="1" applyFill="1" applyAlignment="1">
      <alignment horizontal="center" vertical="center"/>
    </xf>
    <xf numFmtId="164" fontId="47" fillId="11" borderId="0" xfId="0" applyNumberFormat="1" applyFont="1" applyFill="1" applyAlignment="1">
      <alignment horizontal="center" vertical="center"/>
    </xf>
    <xf numFmtId="0" fontId="48" fillId="6" borderId="75" xfId="11" applyFont="1" applyFill="1" applyBorder="1" applyAlignment="1" applyProtection="1">
      <alignment horizontal="center" vertical="center" wrapText="1"/>
      <protection locked="0"/>
    </xf>
    <xf numFmtId="0" fontId="48" fillId="6" borderId="76" xfId="11" applyFont="1" applyFill="1" applyBorder="1" applyAlignment="1" applyProtection="1">
      <alignment horizontal="center" vertical="center" wrapText="1"/>
      <protection locked="0"/>
    </xf>
    <xf numFmtId="0" fontId="48" fillId="6" borderId="77" xfId="11" applyFont="1" applyFill="1" applyBorder="1" applyAlignment="1" applyProtection="1">
      <alignment horizontal="center" vertical="center" wrapText="1"/>
      <protection locked="0"/>
    </xf>
    <xf numFmtId="0" fontId="42" fillId="0" borderId="0" xfId="11" applyFont="1" applyAlignment="1" applyProtection="1">
      <alignment vertical="center" wrapText="1"/>
      <protection locked="0"/>
    </xf>
    <xf numFmtId="0" fontId="48" fillId="5" borderId="78" xfId="11" applyFont="1" applyFill="1" applyBorder="1" applyAlignment="1" applyProtection="1">
      <alignment horizontal="center" vertical="center" wrapText="1"/>
      <protection locked="0"/>
    </xf>
    <xf numFmtId="0" fontId="48" fillId="5" borderId="43" xfId="11" applyFont="1" applyFill="1" applyBorder="1" applyAlignment="1" applyProtection="1">
      <alignment horizontal="center" vertical="center" wrapText="1"/>
      <protection locked="0"/>
    </xf>
    <xf numFmtId="0" fontId="42" fillId="0" borderId="43" xfId="11" applyFont="1" applyBorder="1" applyAlignment="1" applyProtection="1">
      <alignment horizontal="center" vertical="center" wrapText="1"/>
      <protection locked="0"/>
    </xf>
    <xf numFmtId="0" fontId="42" fillId="5" borderId="43" xfId="11" applyFont="1" applyFill="1" applyBorder="1" applyAlignment="1" applyProtection="1">
      <alignment horizontal="center" vertical="center" wrapText="1"/>
      <protection locked="0"/>
    </xf>
    <xf numFmtId="0" fontId="42" fillId="0" borderId="79" xfId="11" applyFont="1" applyBorder="1" applyAlignment="1" applyProtection="1">
      <alignment horizontal="left" vertical="center" wrapText="1"/>
      <protection locked="0"/>
    </xf>
    <xf numFmtId="0" fontId="42" fillId="0" borderId="0" xfId="11" applyFont="1" applyAlignment="1" applyProtection="1">
      <alignment vertical="center"/>
      <protection locked="0"/>
    </xf>
    <xf numFmtId="0" fontId="48" fillId="0" borderId="78" xfId="11" applyFont="1" applyBorder="1" applyAlignment="1" applyProtection="1">
      <alignment horizontal="center" vertical="center" wrapText="1"/>
      <protection locked="0"/>
    </xf>
    <xf numFmtId="0" fontId="48" fillId="0" borderId="43" xfId="11" applyFont="1" applyBorder="1" applyAlignment="1" applyProtection="1">
      <alignment horizontal="center" vertical="center" wrapText="1"/>
      <protection locked="0"/>
    </xf>
    <xf numFmtId="0" fontId="42" fillId="0" borderId="79" xfId="11" applyFont="1" applyBorder="1" applyAlignment="1" applyProtection="1">
      <alignment vertical="center" wrapText="1"/>
      <protection locked="0"/>
    </xf>
    <xf numFmtId="0" fontId="42" fillId="4" borderId="43" xfId="11" applyFont="1" applyFill="1" applyBorder="1" applyAlignment="1" applyProtection="1">
      <alignment horizontal="center" vertical="center" wrapText="1"/>
      <protection locked="0"/>
    </xf>
    <xf numFmtId="0" fontId="48" fillId="0" borderId="0" xfId="11" applyFont="1" applyAlignment="1" applyProtection="1">
      <alignment vertical="center" wrapText="1"/>
      <protection locked="0"/>
    </xf>
    <xf numFmtId="0" fontId="0" fillId="4" borderId="23" xfId="0" applyFill="1" applyBorder="1" applyAlignment="1">
      <alignment horizontal="left" vertical="center" wrapText="1"/>
    </xf>
    <xf numFmtId="0" fontId="0" fillId="12" borderId="23" xfId="0" applyFill="1" applyBorder="1" applyAlignment="1" applyProtection="1">
      <alignment horizontal="left" vertical="center" wrapText="1"/>
      <protection locked="0"/>
    </xf>
    <xf numFmtId="0" fontId="0" fillId="24" borderId="23" xfId="0" applyFill="1" applyBorder="1" applyAlignment="1" applyProtection="1">
      <alignment horizontal="left" vertical="center" wrapText="1"/>
      <protection locked="0"/>
    </xf>
    <xf numFmtId="0" fontId="48" fillId="16" borderId="54" xfId="0" applyFont="1" applyFill="1" applyBorder="1" applyAlignment="1">
      <alignment horizontal="left" vertical="center"/>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64" xfId="0" applyBorder="1" applyAlignment="1">
      <alignment horizontal="center" vertical="center" wrapText="1"/>
    </xf>
    <xf numFmtId="0" fontId="0" fillId="0" borderId="66" xfId="0" applyBorder="1" applyAlignment="1">
      <alignment horizontal="center" vertical="center" wrapText="1"/>
    </xf>
    <xf numFmtId="0" fontId="22" fillId="16" borderId="62" xfId="0" applyFont="1" applyFill="1" applyBorder="1" applyAlignment="1">
      <alignment horizontal="center" vertical="center"/>
    </xf>
    <xf numFmtId="0" fontId="22" fillId="16" borderId="0" xfId="0" applyFont="1" applyFill="1" applyAlignment="1">
      <alignment horizontal="center" vertical="center"/>
    </xf>
    <xf numFmtId="164" fontId="6" fillId="15" borderId="29" xfId="1" applyNumberFormat="1" applyFont="1" applyFill="1" applyBorder="1" applyAlignment="1">
      <alignment horizontal="center" vertical="center"/>
    </xf>
    <xf numFmtId="164" fontId="6" fillId="15" borderId="30" xfId="1" applyNumberFormat="1" applyFont="1" applyFill="1" applyBorder="1" applyAlignment="1">
      <alignment horizontal="center" vertical="center"/>
    </xf>
    <xf numFmtId="164" fontId="6" fillId="15" borderId="31" xfId="1" applyNumberFormat="1" applyFont="1" applyFill="1" applyBorder="1" applyAlignment="1">
      <alignment horizontal="center" vertical="center"/>
    </xf>
    <xf numFmtId="164" fontId="6" fillId="15" borderId="68" xfId="1" applyNumberFormat="1" applyFont="1" applyFill="1" applyBorder="1" applyAlignment="1">
      <alignment horizontal="center" vertical="center"/>
    </xf>
    <xf numFmtId="164" fontId="6" fillId="15" borderId="69" xfId="1" applyNumberFormat="1" applyFont="1" applyFill="1" applyBorder="1" applyAlignment="1">
      <alignment horizontal="center" vertical="center"/>
    </xf>
    <xf numFmtId="164" fontId="6" fillId="15" borderId="70" xfId="1" applyNumberFormat="1" applyFont="1" applyFill="1" applyBorder="1" applyAlignment="1">
      <alignment horizontal="center" vertical="center"/>
    </xf>
    <xf numFmtId="0" fontId="6" fillId="15" borderId="0" xfId="0" applyFont="1" applyFill="1" applyAlignment="1">
      <alignment horizontal="center"/>
    </xf>
    <xf numFmtId="164" fontId="9" fillId="15" borderId="68" xfId="1" applyNumberFormat="1" applyFont="1" applyFill="1" applyBorder="1" applyAlignment="1">
      <alignment horizontal="center" vertical="center"/>
    </xf>
    <xf numFmtId="164" fontId="9" fillId="15" borderId="69" xfId="1" applyNumberFormat="1" applyFont="1" applyFill="1" applyBorder="1" applyAlignment="1">
      <alignment horizontal="center" vertical="center"/>
    </xf>
    <xf numFmtId="164" fontId="9" fillId="15" borderId="70" xfId="1" applyNumberFormat="1" applyFont="1" applyFill="1" applyBorder="1" applyAlignment="1">
      <alignment horizontal="center" vertical="center"/>
    </xf>
    <xf numFmtId="164" fontId="7" fillId="16" borderId="68" xfId="1" applyNumberFormat="1" applyFont="1" applyFill="1" applyBorder="1" applyAlignment="1">
      <alignment horizontal="center" vertical="center"/>
    </xf>
    <xf numFmtId="164" fontId="7" fillId="16" borderId="69" xfId="1" applyNumberFormat="1" applyFont="1" applyFill="1" applyBorder="1" applyAlignment="1">
      <alignment horizontal="center" vertical="center"/>
    </xf>
    <xf numFmtId="164" fontId="7" fillId="16" borderId="70" xfId="1" applyNumberFormat="1" applyFont="1" applyFill="1" applyBorder="1" applyAlignment="1">
      <alignment horizontal="center" vertical="center"/>
    </xf>
    <xf numFmtId="164" fontId="9" fillId="15" borderId="29" xfId="1" applyNumberFormat="1" applyFont="1" applyFill="1" applyBorder="1" applyAlignment="1">
      <alignment horizontal="center" vertical="center"/>
    </xf>
    <xf numFmtId="164" fontId="9" fillId="15" borderId="30" xfId="1" applyNumberFormat="1" applyFont="1" applyFill="1" applyBorder="1" applyAlignment="1">
      <alignment horizontal="center" vertical="center"/>
    </xf>
    <xf numFmtId="164" fontId="9" fillId="15" borderId="31" xfId="1" applyNumberFormat="1" applyFont="1" applyFill="1" applyBorder="1" applyAlignment="1">
      <alignment horizontal="center" vertical="center"/>
    </xf>
    <xf numFmtId="164" fontId="7" fillId="16" borderId="29" xfId="1" applyNumberFormat="1" applyFont="1" applyFill="1" applyBorder="1" applyAlignment="1">
      <alignment horizontal="center" vertical="center"/>
    </xf>
    <xf numFmtId="164" fontId="7" fillId="16" borderId="30" xfId="1" applyNumberFormat="1" applyFont="1" applyFill="1" applyBorder="1" applyAlignment="1">
      <alignment horizontal="center" vertical="center"/>
    </xf>
    <xf numFmtId="164" fontId="7" fillId="16" borderId="31" xfId="1" applyNumberFormat="1" applyFont="1" applyFill="1" applyBorder="1" applyAlignment="1">
      <alignment horizontal="center" vertical="center"/>
    </xf>
    <xf numFmtId="164" fontId="7" fillId="16" borderId="67" xfId="1" applyNumberFormat="1" applyFont="1" applyFill="1" applyBorder="1" applyAlignment="1">
      <alignment horizontal="center" vertical="center"/>
    </xf>
    <xf numFmtId="164" fontId="7" fillId="16" borderId="0" xfId="1" applyNumberFormat="1" applyFont="1" applyFill="1" applyBorder="1" applyAlignment="1">
      <alignment horizontal="center" vertical="center"/>
    </xf>
    <xf numFmtId="164" fontId="7" fillId="16" borderId="55" xfId="1" applyNumberFormat="1" applyFont="1" applyFill="1" applyBorder="1" applyAlignment="1">
      <alignment horizontal="center" vertical="center"/>
    </xf>
    <xf numFmtId="164" fontId="18" fillId="15" borderId="68" xfId="1" applyNumberFormat="1" applyFont="1" applyFill="1" applyBorder="1" applyAlignment="1">
      <alignment horizontal="center" vertical="center"/>
    </xf>
    <xf numFmtId="164" fontId="18" fillId="15" borderId="69" xfId="1" applyNumberFormat="1" applyFont="1" applyFill="1" applyBorder="1" applyAlignment="1">
      <alignment horizontal="center" vertical="center"/>
    </xf>
    <xf numFmtId="164" fontId="18" fillId="15" borderId="70" xfId="1" applyNumberFormat="1" applyFont="1" applyFill="1" applyBorder="1" applyAlignment="1">
      <alignment horizontal="center" vertical="center"/>
    </xf>
    <xf numFmtId="164" fontId="46" fillId="3" borderId="29" xfId="1" applyNumberFormat="1" applyFont="1" applyFill="1" applyBorder="1" applyAlignment="1">
      <alignment horizontal="center" vertical="center"/>
    </xf>
    <xf numFmtId="164" fontId="46" fillId="3" borderId="30" xfId="1" applyNumberFormat="1" applyFont="1" applyFill="1" applyBorder="1" applyAlignment="1">
      <alignment horizontal="center" vertical="center"/>
    </xf>
    <xf numFmtId="164" fontId="46" fillId="3" borderId="31" xfId="1" applyNumberFormat="1" applyFont="1" applyFill="1" applyBorder="1" applyAlignment="1">
      <alignment horizontal="center" vertical="center"/>
    </xf>
    <xf numFmtId="164" fontId="46" fillId="3" borderId="68" xfId="1" applyNumberFormat="1" applyFont="1" applyFill="1" applyBorder="1" applyAlignment="1">
      <alignment horizontal="center" vertical="center"/>
    </xf>
    <xf numFmtId="164" fontId="46" fillId="3" borderId="69" xfId="1" applyNumberFormat="1" applyFont="1" applyFill="1" applyBorder="1" applyAlignment="1">
      <alignment horizontal="center" vertical="center"/>
    </xf>
    <xf numFmtId="164" fontId="46" fillId="3" borderId="70" xfId="1" applyNumberFormat="1" applyFont="1" applyFill="1" applyBorder="1" applyAlignment="1">
      <alignment horizontal="center" vertical="center"/>
    </xf>
    <xf numFmtId="164" fontId="18" fillId="15" borderId="29" xfId="1" applyNumberFormat="1" applyFont="1" applyFill="1" applyBorder="1" applyAlignment="1">
      <alignment horizontal="center" vertical="center"/>
    </xf>
    <xf numFmtId="164" fontId="18" fillId="15" borderId="30" xfId="1" applyNumberFormat="1" applyFont="1" applyFill="1" applyBorder="1" applyAlignment="1">
      <alignment horizontal="center" vertical="center"/>
    </xf>
    <xf numFmtId="164" fontId="18" fillId="15" borderId="31" xfId="1" applyNumberFormat="1" applyFont="1" applyFill="1" applyBorder="1" applyAlignment="1">
      <alignment horizontal="center" vertical="center"/>
    </xf>
    <xf numFmtId="10" fontId="46" fillId="3" borderId="29" xfId="1" applyNumberFormat="1" applyFont="1" applyFill="1" applyBorder="1" applyAlignment="1">
      <alignment horizontal="center" vertical="center"/>
    </xf>
    <xf numFmtId="10" fontId="46" fillId="3" borderId="30" xfId="1" applyNumberFormat="1" applyFont="1" applyFill="1" applyBorder="1" applyAlignment="1">
      <alignment horizontal="center" vertical="center"/>
    </xf>
    <xf numFmtId="10" fontId="46" fillId="3" borderId="31" xfId="1" applyNumberFormat="1" applyFont="1" applyFill="1" applyBorder="1" applyAlignment="1">
      <alignment horizontal="center" vertical="center"/>
    </xf>
    <xf numFmtId="0" fontId="9" fillId="15" borderId="0" xfId="0" applyFont="1" applyFill="1" applyAlignment="1">
      <alignment horizontal="center" vertical="center" wrapText="1"/>
    </xf>
    <xf numFmtId="0" fontId="37" fillId="0" borderId="27" xfId="0" applyFont="1" applyBorder="1" applyAlignment="1">
      <alignment horizontal="center" vertical="center" wrapText="1"/>
    </xf>
    <xf numFmtId="0" fontId="37" fillId="0" borderId="64" xfId="0" applyFont="1" applyBorder="1" applyAlignment="1">
      <alignment horizontal="center" vertical="center" wrapText="1"/>
    </xf>
    <xf numFmtId="0" fontId="0" fillId="0" borderId="26" xfId="0" applyBorder="1" applyAlignment="1">
      <alignment horizontal="center" vertical="center" wrapText="1"/>
    </xf>
    <xf numFmtId="0" fontId="37" fillId="0" borderId="66" xfId="0" applyFont="1" applyBorder="1" applyAlignment="1">
      <alignment horizontal="center" vertical="center" wrapText="1"/>
    </xf>
    <xf numFmtId="0" fontId="37" fillId="0" borderId="28" xfId="0" applyFont="1" applyBorder="1" applyAlignment="1">
      <alignment horizontal="center" vertical="center" wrapText="1"/>
    </xf>
    <xf numFmtId="0" fontId="42" fillId="0" borderId="43" xfId="11" applyFont="1" applyBorder="1" applyAlignment="1" applyProtection="1">
      <alignment horizontal="center" vertical="center" wrapText="1"/>
      <protection locked="0"/>
    </xf>
    <xf numFmtId="0" fontId="48" fillId="0" borderId="78" xfId="11" applyFont="1" applyBorder="1" applyAlignment="1" applyProtection="1">
      <alignment horizontal="center" vertical="center" wrapText="1"/>
      <protection locked="0"/>
    </xf>
    <xf numFmtId="0" fontId="48" fillId="0" borderId="43" xfId="11" applyFont="1" applyBorder="1" applyAlignment="1" applyProtection="1">
      <alignment horizontal="center" vertical="center" wrapText="1"/>
      <protection locked="0"/>
    </xf>
    <xf numFmtId="0" fontId="48" fillId="5" borderId="78" xfId="11" applyFont="1" applyFill="1" applyBorder="1" applyAlignment="1" applyProtection="1">
      <alignment horizontal="center" vertical="center" wrapText="1"/>
      <protection locked="0"/>
    </xf>
    <xf numFmtId="0" fontId="48" fillId="5" borderId="43" xfId="11" applyFont="1" applyFill="1" applyBorder="1" applyAlignment="1" applyProtection="1">
      <alignment horizontal="center" vertical="center" wrapText="1"/>
      <protection locked="0"/>
    </xf>
    <xf numFmtId="0" fontId="42" fillId="5" borderId="43" xfId="11" applyFont="1" applyFill="1" applyBorder="1" applyAlignment="1" applyProtection="1">
      <alignment horizontal="center" vertical="center" wrapText="1"/>
      <protection locked="0"/>
    </xf>
    <xf numFmtId="14" fontId="23" fillId="5" borderId="7" xfId="3" applyNumberFormat="1" applyFont="1" applyFill="1" applyBorder="1" applyAlignment="1">
      <alignment horizontal="center" vertical="center"/>
    </xf>
    <xf numFmtId="0" fontId="22" fillId="16" borderId="24" xfId="0" applyFont="1" applyFill="1" applyBorder="1" applyAlignment="1">
      <alignment horizontal="center" vertical="center"/>
    </xf>
    <xf numFmtId="0" fontId="22" fillId="16" borderId="25" xfId="0" applyFont="1" applyFill="1" applyBorder="1" applyAlignment="1">
      <alignment horizontal="center" vertical="center"/>
    </xf>
    <xf numFmtId="0" fontId="7" fillId="2" borderId="43" xfId="0" applyFont="1" applyFill="1" applyBorder="1" applyAlignment="1">
      <alignment horizontal="center" vertical="center"/>
    </xf>
    <xf numFmtId="0" fontId="7" fillId="2" borderId="44" xfId="0" applyFont="1" applyFill="1" applyBorder="1" applyAlignment="1">
      <alignment horizontal="center" vertical="center"/>
    </xf>
    <xf numFmtId="0" fontId="7" fillId="2" borderId="39" xfId="0" applyFont="1" applyFill="1" applyBorder="1" applyAlignment="1">
      <alignment horizontal="center" vertical="center" wrapText="1"/>
    </xf>
    <xf numFmtId="0" fontId="7" fillId="2" borderId="40" xfId="0" applyFont="1" applyFill="1" applyBorder="1" applyAlignment="1">
      <alignment horizontal="center" vertical="center" wrapText="1"/>
    </xf>
    <xf numFmtId="0" fontId="7" fillId="2" borderId="41" xfId="0" applyFont="1" applyFill="1" applyBorder="1" applyAlignment="1">
      <alignment horizontal="center" vertical="center" wrapText="1"/>
    </xf>
    <xf numFmtId="0" fontId="7" fillId="2" borderId="48" xfId="0" applyFont="1" applyFill="1" applyBorder="1" applyAlignment="1">
      <alignment horizontal="center" vertical="center" wrapText="1"/>
    </xf>
    <xf numFmtId="0" fontId="7" fillId="2" borderId="50" xfId="0" applyFont="1" applyFill="1" applyBorder="1" applyAlignment="1">
      <alignment horizontal="center" vertical="center" wrapText="1"/>
    </xf>
    <xf numFmtId="0" fontId="7" fillId="2" borderId="42" xfId="0" applyFont="1" applyFill="1" applyBorder="1" applyAlignment="1">
      <alignment horizontal="center" vertical="center"/>
    </xf>
    <xf numFmtId="0" fontId="7" fillId="2" borderId="56" xfId="0" applyFont="1" applyFill="1" applyBorder="1" applyAlignment="1">
      <alignment horizontal="center" vertical="center" wrapText="1"/>
    </xf>
    <xf numFmtId="0" fontId="7" fillId="2" borderId="32" xfId="0" applyFont="1" applyFill="1" applyBorder="1" applyAlignment="1">
      <alignment horizontal="center" vertical="center" wrapText="1"/>
    </xf>
    <xf numFmtId="0" fontId="7" fillId="2" borderId="34" xfId="0" applyFont="1" applyFill="1" applyBorder="1" applyAlignment="1">
      <alignment horizontal="center" vertical="center" wrapText="1"/>
    </xf>
    <xf numFmtId="0" fontId="7" fillId="2" borderId="52" xfId="0" applyFont="1" applyFill="1" applyBorder="1" applyAlignment="1">
      <alignment horizontal="center" vertical="center"/>
    </xf>
    <xf numFmtId="0" fontId="7" fillId="2" borderId="53" xfId="0" applyFont="1" applyFill="1" applyBorder="1" applyAlignment="1">
      <alignment horizontal="center" vertical="center"/>
    </xf>
    <xf numFmtId="0" fontId="7" fillId="2" borderId="54" xfId="0" applyFont="1" applyFill="1" applyBorder="1" applyAlignment="1">
      <alignment horizontal="center" vertical="center"/>
    </xf>
  </cellXfs>
  <cellStyles count="13">
    <cellStyle name="Millares" xfId="9" builtinId="3"/>
    <cellStyle name="Normal" xfId="0" builtinId="0"/>
    <cellStyle name="Normal 2" xfId="3" xr:uid="{00000000-0005-0000-0000-000002000000}"/>
    <cellStyle name="Normal 2 2" xfId="4" xr:uid="{00000000-0005-0000-0000-000003000000}"/>
    <cellStyle name="Normal 2 2 2" xfId="7" xr:uid="{E1A0FD65-F35C-4D7F-B732-EAAA4D8C5F08}"/>
    <cellStyle name="Normal 2 3" xfId="11" xr:uid="{E78026B2-F6D3-4031-AF48-20EE41A4AB2F}"/>
    <cellStyle name="Normal 3 3" xfId="6" xr:uid="{C973230A-0EC0-4B11-AB6A-ECA5AAFD3DD4}"/>
    <cellStyle name="Porcentaje" xfId="1" builtinId="5"/>
    <cellStyle name="Porcentaje 2" xfId="5" xr:uid="{1B64FDF7-79A9-DC47-BFAB-FD704C6BCFA5}"/>
    <cellStyle name="Porcentaje 2 2" xfId="8" xr:uid="{7302D6DD-2563-4000-8FB3-2A90A94AAE0D}"/>
    <cellStyle name="Porcentaje 2 3" xfId="12" xr:uid="{F77A4321-33B5-41DA-BDCE-2FC6930810D7}"/>
    <cellStyle name="Porcentaje 3" xfId="10" xr:uid="{1FCC3F83-EC73-4E95-BEB8-47F7CC8BA249}"/>
    <cellStyle name="Porcentual 2" xfId="2" xr:uid="{00000000-0005-0000-0000-000005000000}"/>
  </cellStyles>
  <dxfs count="344">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theme="1" tint="4.9989318521683403E-2"/>
      </font>
      <fill>
        <patternFill>
          <bgColor theme="4"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0" tint="-4.9989318521683403E-2"/>
        </patternFill>
      </fill>
    </dxf>
    <dxf>
      <fill>
        <patternFill>
          <bgColor theme="5" tint="0.3999450666829432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9" tint="0.39994506668294322"/>
        </patternFill>
      </fill>
    </dxf>
    <dxf>
      <fill>
        <patternFill>
          <bgColor theme="5" tint="0.39994506668294322"/>
        </patternFill>
      </fill>
    </dxf>
    <dxf>
      <fill>
        <patternFill>
          <bgColor theme="0" tint="-4.9989318521683403E-2"/>
        </patternFill>
      </fill>
    </dxf>
    <dxf>
      <fill>
        <patternFill>
          <bgColor theme="9" tint="0.39994506668294322"/>
        </patternFill>
      </fill>
    </dxf>
    <dxf>
      <fill>
        <patternFill>
          <bgColor theme="5"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ill>
        <patternFill>
          <bgColor theme="9" tint="0.39994506668294322"/>
        </patternFill>
      </fill>
    </dxf>
    <dxf>
      <fill>
        <patternFill>
          <bgColor theme="5"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5" tint="0.3999450666829432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5" tint="0.39994506668294322"/>
        </patternFill>
      </fill>
    </dxf>
    <dxf>
      <fill>
        <patternFill>
          <bgColor theme="9"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9" tint="0.39994506668294322"/>
        </patternFill>
      </fill>
    </dxf>
    <dxf>
      <fill>
        <patternFill>
          <bgColor theme="5"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color rgb="FF9C0006"/>
      </font>
      <fill>
        <patternFill>
          <bgColor rgb="FFFFC7CE"/>
        </patternFill>
      </fill>
    </dxf>
    <dxf>
      <fill>
        <patternFill>
          <bgColor rgb="FFFFFF00"/>
        </patternFill>
      </fill>
    </dxf>
    <dxf>
      <font>
        <b/>
        <i val="0"/>
        <color theme="0"/>
      </font>
      <fill>
        <patternFill>
          <bgColor rgb="FF00B050"/>
        </patternFill>
      </fill>
    </dxf>
    <dxf>
      <font>
        <b/>
        <i val="0"/>
        <color theme="0"/>
      </font>
      <fill>
        <patternFill>
          <bgColor rgb="FFFF0000"/>
        </patternFill>
      </fill>
    </dxf>
    <dxf>
      <font>
        <b/>
        <i val="0"/>
        <color theme="1" tint="4.9989318521683403E-2"/>
      </font>
      <fill>
        <patternFill>
          <bgColor rgb="FFFFC000"/>
        </patternFill>
      </fill>
    </dxf>
    <dxf>
      <fill>
        <patternFill>
          <bgColor rgb="FF99FF66"/>
        </patternFill>
      </fill>
    </dxf>
    <dxf>
      <fill>
        <patternFill patternType="lightUp">
          <fgColor auto="1"/>
        </patternFill>
      </fill>
    </dxf>
    <dxf>
      <fill>
        <patternFill>
          <bgColor rgb="FFFFFF66"/>
        </patternFill>
      </fill>
    </dxf>
    <dxf>
      <font>
        <color auto="1"/>
      </font>
      <fill>
        <patternFill>
          <bgColor theme="5" tint="0.39994506668294322"/>
        </patternFill>
      </fill>
    </dxf>
    <dxf>
      <fill>
        <patternFill>
          <bgColor rgb="FF99FF66"/>
        </patternFill>
      </fill>
    </dxf>
    <dxf>
      <fill>
        <patternFill>
          <bgColor rgb="FF99FF66"/>
        </patternFill>
      </fill>
    </dxf>
    <dxf>
      <fill>
        <patternFill>
          <bgColor rgb="FF99FF66"/>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0" tint="-4.9989318521683403E-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5" tint="0.3999450666829432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5" tint="0.39994506668294322"/>
        </patternFill>
      </fill>
    </dxf>
    <dxf>
      <fill>
        <patternFill>
          <bgColor theme="0" tint="-4.9989318521683403E-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color rgb="FF9C0006"/>
      </font>
      <fill>
        <patternFill>
          <bgColor rgb="FFFFC7CE"/>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5"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0" tint="-4.9989318521683403E-2"/>
        </patternFill>
      </fill>
    </dxf>
    <dxf>
      <fill>
        <patternFill>
          <bgColor theme="5"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color rgb="FF9C0006"/>
      </font>
      <fill>
        <patternFill>
          <bgColor rgb="FFFFC7CE"/>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color rgb="FF9C0006"/>
      </font>
      <fill>
        <patternFill>
          <bgColor rgb="FFFFC7CE"/>
        </patternFill>
      </fill>
    </dxf>
  </dxfs>
  <tableStyles count="0" defaultTableStyle="TableStyleMedium2" defaultPivotStyle="PivotStyleLight16"/>
  <colors>
    <mruColors>
      <color rgb="FF0000FF"/>
      <color rgb="FF0033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Zoom Calidad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s-AR" sz="1800" b="1" i="0" u="none" strike="noStrike" kern="1200" cap="none" spc="0" normalizeH="0" baseline="0" noProof="0">
              <a:ln>
                <a:noFill/>
              </a:ln>
              <a:solidFill>
                <a:sysClr val="windowText" lastClr="000000"/>
              </a:solidFill>
              <a:effectLst/>
              <a:uLnTx/>
              <a:uFillTx/>
              <a:latin typeface="Calibri" panose="020F0502020204030204"/>
            </a:rPr>
            <a:t>Zoom Calidad</a:t>
          </a:r>
        </a:p>
      </cx:txPr>
    </cx:title>
    <cx:plotArea>
      <cx:plotAreaRegion>
        <cx:series layoutId="funnel" uniqueId="{A61CF0CA-8AE8-48AA-8100-23CF9380C5DB}">
          <cx:dataPt idx="0">
            <cx:spPr>
              <a:solidFill>
                <a:srgbClr val="ED7D31">
                  <a:lumMod val="60000"/>
                  <a:lumOff val="40000"/>
                </a:srgbClr>
              </a:solidFill>
            </cx:spPr>
          </cx:dataPt>
          <cx:dataPt idx="1">
            <cx:spPr>
              <a:solidFill>
                <a:srgbClr val="4472C4">
                  <a:lumMod val="60000"/>
                  <a:lumOff val="40000"/>
                </a:srgbClr>
              </a:solidFill>
            </cx:spPr>
          </cx:dataPt>
          <cx:dataPt idx="2">
            <cx:spPr>
              <a:solidFill>
                <a:srgbClr val="00B050"/>
              </a:solidFill>
            </cx:spPr>
          </cx:dataPt>
          <cx:dataPt idx="3">
            <cx:spPr>
              <a:solidFill>
                <a:srgbClr val="00B050"/>
              </a:solidFill>
            </cx:spPr>
          </cx:dataPt>
          <cx:dataLabels pos="inEnd">
            <cx:txPr>
              <a:bodyPr spcFirstLastPara="1" vertOverflow="ellipsis" horzOverflow="overflow" wrap="square" lIns="0" tIns="0" rIns="0" bIns="0" anchor="ctr" anchorCtr="1"/>
              <a:lstStyle/>
              <a:p>
                <a:pPr algn="ctr" rtl="0">
                  <a:defRPr sz="1800">
                    <a:solidFill>
                      <a:sysClr val="windowText" lastClr="000000"/>
                    </a:solidFill>
                  </a:defRPr>
                </a:pPr>
                <a:endParaRPr lang="es-ES" sz="1800" b="1" i="0" u="none" strike="noStrike" kern="1200" baseline="0">
                  <a:solidFill>
                    <a:sysClr val="windowText" lastClr="000000"/>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a:pPr>
                  <a:r>
                    <a:rPr lang="es-ES" sz="1800" b="1" i="0" u="none" strike="noStrike" kern="1200" baseline="0">
                      <a:solidFill>
                        <a:sysClr val="windowText" lastClr="000000"/>
                      </a:solidFill>
                      <a:latin typeface="Calibri" panose="020F0502020204030204"/>
                    </a:rPr>
                    <a:t>71%</a:t>
                  </a:r>
                </a:p>
              </cx:txPr>
              <cx:visibility seriesName="0" categoryName="0" value="1"/>
            </cx:dataLabel>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sz="1600" b="1">
                <a:solidFill>
                  <a:sysClr val="windowText" lastClr="000000"/>
                </a:solidFill>
              </a:defRPr>
            </a:pPr>
            <a:endParaRPr lang="es-ES" sz="1600" b="1" i="0" u="none" strike="noStrike" kern="1200" cap="all" baseline="0">
              <a:solidFill>
                <a:sysClr val="windowText" lastClr="000000"/>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Zoom Sustentabilidad</cx:v>
        </cx:txData>
      </cx:tx>
      <cx:txPr>
        <a:bodyPr spcFirstLastPara="1" vertOverflow="ellipsis" horzOverflow="overflow" wrap="square" lIns="0" tIns="0" rIns="0" bIns="0" anchor="ctr" anchorCtr="1"/>
        <a:lstStyle/>
        <a:p>
          <a:pPr algn="ctr" rtl="0">
            <a:defRPr/>
          </a:pPr>
          <a:r>
            <a:rPr lang="es-ES" sz="1800" b="1" i="0" u="none" strike="noStrike" baseline="0">
              <a:solidFill>
                <a:sysClr val="windowText" lastClr="000000">
                  <a:lumMod val="75000"/>
                  <a:lumOff val="25000"/>
                </a:sysClr>
              </a:solidFill>
              <a:latin typeface="Calibri" panose="020F0502020204030204"/>
            </a:rPr>
            <a:t>Zoom Sustentabilidad</a:t>
          </a:r>
        </a:p>
      </cx:txPr>
    </cx:title>
    <cx:plotArea>
      <cx:plotAreaRegion>
        <cx:series layoutId="funnel" uniqueId="{4C21D500-CEC5-4E1E-AF5D-0840C4B5F045}" formatIdx="0">
          <cx:dataPt idx="0">
            <cx:spPr>
              <a:solidFill>
                <a:srgbClr val="A5A5A5"/>
              </a:solidFill>
            </cx:spPr>
          </cx:dataPt>
          <cx:dataPt idx="1">
            <cx:spPr>
              <a:solidFill>
                <a:srgbClr val="ED7D31">
                  <a:lumMod val="60000"/>
                  <a:lumOff val="40000"/>
                </a:srgbClr>
              </a:solidFill>
            </cx:spPr>
          </cx:dataPt>
          <cx:dataPt idx="2">
            <cx:spPr>
              <a:solidFill>
                <a:srgbClr val="4472C4">
                  <a:lumMod val="60000"/>
                  <a:lumOff val="40000"/>
                </a:srgbClr>
              </a:solidFill>
            </cx:spPr>
          </cx:dataPt>
          <cx:dataPt idx="3">
            <cx:spPr>
              <a:solidFill>
                <a:srgbClr val="00B050"/>
              </a:solidFill>
            </cx:spPr>
          </cx:dataPt>
          <cx:dataLabels>
            <cx:txPr>
              <a:bodyPr spcFirstLastPara="1" vertOverflow="ellipsis" horzOverflow="overflow" wrap="square" lIns="0" tIns="0" rIns="0" bIns="0" anchor="ctr" anchorCtr="1"/>
              <a:lstStyle/>
              <a:p>
                <a:pPr algn="ctr" rtl="0">
                  <a:defRPr sz="1800" b="1"/>
                </a:pPr>
                <a:endParaRPr lang="es-ES" sz="1800" b="1"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sz="1600" b="1"/>
            </a:pPr>
            <a:endParaRPr lang="es-ES" sz="1600" b="1" i="0" u="none" strike="noStrike" baseline="0">
              <a:solidFill>
                <a:sysClr val="windowText" lastClr="000000">
                  <a:lumMod val="75000"/>
                  <a:lumOff val="2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2" Type="http://schemas.openxmlformats.org/officeDocument/2006/relationships/image" Target="../media/image8.png"/><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0</xdr:col>
      <xdr:colOff>734786</xdr:colOff>
      <xdr:row>51</xdr:row>
      <xdr:rowOff>95249</xdr:rowOff>
    </xdr:from>
    <xdr:to>
      <xdr:col>5</xdr:col>
      <xdr:colOff>632452</xdr:colOff>
      <xdr:row>59</xdr:row>
      <xdr:rowOff>91394</xdr:rowOff>
    </xdr:to>
    <xdr:pic>
      <xdr:nvPicPr>
        <xdr:cNvPr id="2" name="Imagen 1">
          <a:extLst>
            <a:ext uri="{FF2B5EF4-FFF2-40B4-BE49-F238E27FC236}">
              <a16:creationId xmlns:a16="http://schemas.microsoft.com/office/drawing/2014/main" id="{20E73C4F-E821-407F-BD0D-0E32937A7DA1}"/>
            </a:ext>
          </a:extLst>
        </xdr:cNvPr>
        <xdr:cNvPicPr>
          <a:picLocks noChangeAspect="1"/>
        </xdr:cNvPicPr>
      </xdr:nvPicPr>
      <xdr:blipFill>
        <a:blip xmlns:r="http://schemas.openxmlformats.org/officeDocument/2006/relationships" r:embed="rId1"/>
        <a:stretch>
          <a:fillRect/>
        </a:stretch>
      </xdr:blipFill>
      <xdr:spPr>
        <a:xfrm>
          <a:off x="734786" y="10640785"/>
          <a:ext cx="7735380" cy="16290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505065</xdr:colOff>
      <xdr:row>1</xdr:row>
      <xdr:rowOff>109658</xdr:rowOff>
    </xdr:from>
    <xdr:to>
      <xdr:col>3</xdr:col>
      <xdr:colOff>580939</xdr:colOff>
      <xdr:row>4</xdr:row>
      <xdr:rowOff>108387</xdr:rowOff>
    </xdr:to>
    <xdr:pic>
      <xdr:nvPicPr>
        <xdr:cNvPr id="4" name="Imagen 3" descr="Texto&#10;&#10;Descripción generada automáticamente">
          <a:extLst>
            <a:ext uri="{FF2B5EF4-FFF2-40B4-BE49-F238E27FC236}">
              <a16:creationId xmlns:a16="http://schemas.microsoft.com/office/drawing/2014/main" id="{E26A2B8F-1085-A5D8-D629-D5EE4E69A3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065" y="313765"/>
          <a:ext cx="2606803" cy="611051"/>
        </a:xfrm>
        <a:prstGeom prst="rect">
          <a:avLst/>
        </a:prstGeom>
      </xdr:spPr>
    </xdr:pic>
    <xdr:clientData/>
  </xdr:twoCellAnchor>
  <xdr:twoCellAnchor editAs="oneCell">
    <xdr:from>
      <xdr:col>3</xdr:col>
      <xdr:colOff>816428</xdr:colOff>
      <xdr:row>0</xdr:row>
      <xdr:rowOff>0</xdr:rowOff>
    </xdr:from>
    <xdr:to>
      <xdr:col>6</xdr:col>
      <xdr:colOff>140012</xdr:colOff>
      <xdr:row>6</xdr:row>
      <xdr:rowOff>180609</xdr:rowOff>
    </xdr:to>
    <xdr:pic>
      <xdr:nvPicPr>
        <xdr:cNvPr id="3" name="Imagen 2">
          <a:extLst>
            <a:ext uri="{FF2B5EF4-FFF2-40B4-BE49-F238E27FC236}">
              <a16:creationId xmlns:a16="http://schemas.microsoft.com/office/drawing/2014/main" id="{D0330E63-933D-EB2B-F57B-EB39AE549246}"/>
            </a:ext>
          </a:extLst>
        </xdr:cNvPr>
        <xdr:cNvPicPr>
          <a:picLocks noChangeAspect="1"/>
        </xdr:cNvPicPr>
      </xdr:nvPicPr>
      <xdr:blipFill>
        <a:blip xmlns:r="http://schemas.openxmlformats.org/officeDocument/2006/relationships" r:embed="rId2"/>
        <a:stretch>
          <a:fillRect/>
        </a:stretch>
      </xdr:blipFill>
      <xdr:spPr>
        <a:xfrm>
          <a:off x="3347357" y="0"/>
          <a:ext cx="1854512" cy="1405252"/>
        </a:xfrm>
        <a:prstGeom prst="rect">
          <a:avLst/>
        </a:prstGeom>
      </xdr:spPr>
    </xdr:pic>
    <xdr:clientData/>
  </xdr:twoCellAnchor>
  <xdr:twoCellAnchor editAs="oneCell">
    <xdr:from>
      <xdr:col>0</xdr:col>
      <xdr:colOff>136070</xdr:colOff>
      <xdr:row>10</xdr:row>
      <xdr:rowOff>0</xdr:rowOff>
    </xdr:from>
    <xdr:to>
      <xdr:col>8</xdr:col>
      <xdr:colOff>95249</xdr:colOff>
      <xdr:row>21</xdr:row>
      <xdr:rowOff>81643</xdr:rowOff>
    </xdr:to>
    <xdr:pic>
      <xdr:nvPicPr>
        <xdr:cNvPr id="7" name="Imagen 6">
          <a:extLst>
            <a:ext uri="{FF2B5EF4-FFF2-40B4-BE49-F238E27FC236}">
              <a16:creationId xmlns:a16="http://schemas.microsoft.com/office/drawing/2014/main" id="{E7C460C6-0148-DA1C-F110-4874BE1B0C3E}"/>
            </a:ext>
          </a:extLst>
        </xdr:cNvPr>
        <xdr:cNvPicPr>
          <a:picLocks noChangeAspect="1"/>
        </xdr:cNvPicPr>
      </xdr:nvPicPr>
      <xdr:blipFill rotWithShape="1">
        <a:blip xmlns:r="http://schemas.openxmlformats.org/officeDocument/2006/relationships" r:embed="rId3"/>
        <a:srcRect l="4487" t="4815" r="3342" b="3706"/>
        <a:stretch/>
      </xdr:blipFill>
      <xdr:spPr>
        <a:xfrm>
          <a:off x="136070" y="2041071"/>
          <a:ext cx="6708322" cy="2326822"/>
        </a:xfrm>
        <a:prstGeom prst="rect">
          <a:avLst/>
        </a:prstGeom>
      </xdr:spPr>
    </xdr:pic>
    <xdr:clientData/>
  </xdr:twoCellAnchor>
  <xdr:twoCellAnchor editAs="oneCell">
    <xdr:from>
      <xdr:col>8</xdr:col>
      <xdr:colOff>108857</xdr:colOff>
      <xdr:row>0</xdr:row>
      <xdr:rowOff>0</xdr:rowOff>
    </xdr:from>
    <xdr:to>
      <xdr:col>15</xdr:col>
      <xdr:colOff>59644</xdr:colOff>
      <xdr:row>13</xdr:row>
      <xdr:rowOff>79372</xdr:rowOff>
    </xdr:to>
    <xdr:pic>
      <xdr:nvPicPr>
        <xdr:cNvPr id="2" name="Imagen 1">
          <a:extLst>
            <a:ext uri="{FF2B5EF4-FFF2-40B4-BE49-F238E27FC236}">
              <a16:creationId xmlns:a16="http://schemas.microsoft.com/office/drawing/2014/main" id="{F0D30E79-001F-AD2A-3FA5-D1032949B6CE}"/>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28512"/>
        <a:stretch/>
      </xdr:blipFill>
      <xdr:spPr bwMode="auto">
        <a:xfrm>
          <a:off x="6858000" y="0"/>
          <a:ext cx="5856287" cy="2732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32315</xdr:colOff>
      <xdr:row>0</xdr:row>
      <xdr:rowOff>81643</xdr:rowOff>
    </xdr:from>
    <xdr:to>
      <xdr:col>21</xdr:col>
      <xdr:colOff>59531</xdr:colOff>
      <xdr:row>3</xdr:row>
      <xdr:rowOff>0</xdr:rowOff>
    </xdr:to>
    <xdr:sp macro="" textlink="">
      <xdr:nvSpPr>
        <xdr:cNvPr id="2" name="Rectángulo: esquinas redondeadas 1">
          <a:extLst>
            <a:ext uri="{FF2B5EF4-FFF2-40B4-BE49-F238E27FC236}">
              <a16:creationId xmlns:a16="http://schemas.microsoft.com/office/drawing/2014/main" id="{3F3E0E0C-5D4F-4030-8D04-2A528A52B203}"/>
            </a:ext>
          </a:extLst>
        </xdr:cNvPr>
        <xdr:cNvSpPr/>
      </xdr:nvSpPr>
      <xdr:spPr>
        <a:xfrm>
          <a:off x="115659" y="81643"/>
          <a:ext cx="11016685" cy="70417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s-AR" sz="3200" b="1"/>
            <a:t>Dashboard General - </a:t>
          </a:r>
          <a:r>
            <a:rPr lang="es-AR" sz="2000" b="1"/>
            <a:t>Edición</a:t>
          </a:r>
          <a:r>
            <a:rPr lang="es-AR" sz="2000" b="1" baseline="0"/>
            <a:t> 2025</a:t>
          </a:r>
          <a:endParaRPr lang="es-AR" sz="3200" b="1"/>
        </a:p>
      </xdr:txBody>
    </xdr:sp>
    <xdr:clientData/>
  </xdr:twoCellAnchor>
  <xdr:twoCellAnchor>
    <xdr:from>
      <xdr:col>12</xdr:col>
      <xdr:colOff>59537</xdr:colOff>
      <xdr:row>4</xdr:row>
      <xdr:rowOff>23811</xdr:rowOff>
    </xdr:from>
    <xdr:to>
      <xdr:col>19</xdr:col>
      <xdr:colOff>83343</xdr:colOff>
      <xdr:row>6</xdr:row>
      <xdr:rowOff>23809</xdr:rowOff>
    </xdr:to>
    <xdr:sp macro="" textlink="">
      <xdr:nvSpPr>
        <xdr:cNvPr id="3" name="Rectángulo: esquinas redondeadas 2">
          <a:extLst>
            <a:ext uri="{FF2B5EF4-FFF2-40B4-BE49-F238E27FC236}">
              <a16:creationId xmlns:a16="http://schemas.microsoft.com/office/drawing/2014/main" id="{96F34DA1-1FEF-40E7-980F-4D1B9B698322}"/>
            </a:ext>
          </a:extLst>
        </xdr:cNvPr>
        <xdr:cNvSpPr/>
      </xdr:nvSpPr>
      <xdr:spPr>
        <a:xfrm>
          <a:off x="5762631" y="940592"/>
          <a:ext cx="4976806" cy="547686"/>
        </a:xfrm>
        <a:prstGeom prst="roundRect">
          <a:avLst/>
        </a:prstGeom>
        <a:solidFill>
          <a:schemeClr val="bg2">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r>
            <a:rPr lang="es-AR" sz="1800" b="1">
              <a:solidFill>
                <a:schemeClr val="lt1"/>
              </a:solidFill>
              <a:latin typeface="+mn-lt"/>
              <a:ea typeface="+mn-ea"/>
              <a:cs typeface="+mn-cs"/>
            </a:rPr>
            <a:t>Evaluación 2025</a:t>
          </a:r>
        </a:p>
      </xdr:txBody>
    </xdr:sp>
    <xdr:clientData/>
  </xdr:twoCellAnchor>
  <xdr:twoCellAnchor>
    <xdr:from>
      <xdr:col>13</xdr:col>
      <xdr:colOff>493257</xdr:colOff>
      <xdr:row>14</xdr:row>
      <xdr:rowOff>168734</xdr:rowOff>
    </xdr:from>
    <xdr:to>
      <xdr:col>17</xdr:col>
      <xdr:colOff>209207</xdr:colOff>
      <xdr:row>18</xdr:row>
      <xdr:rowOff>173490</xdr:rowOff>
    </xdr:to>
    <xdr:sp macro="" textlink="'Resumen  - Se oculta 2,0'!D43">
      <xdr:nvSpPr>
        <xdr:cNvPr id="4" name="Rectángulo: esquinas redondeadas 3">
          <a:extLst>
            <a:ext uri="{FF2B5EF4-FFF2-40B4-BE49-F238E27FC236}">
              <a16:creationId xmlns:a16="http://schemas.microsoft.com/office/drawing/2014/main" id="{B8F80695-B62B-4263-A2FC-6936D19B2D44}"/>
            </a:ext>
          </a:extLst>
        </xdr:cNvPr>
        <xdr:cNvSpPr/>
      </xdr:nvSpPr>
      <xdr:spPr>
        <a:xfrm>
          <a:off x="7708445" y="3823953"/>
          <a:ext cx="2168637" cy="1100131"/>
        </a:xfrm>
        <a:prstGeom prst="roundRect">
          <a:avLst/>
        </a:prstGeom>
        <a:solidFill>
          <a:schemeClr val="tx2">
            <a:lumMod val="75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AD61007-8714-43DA-8593-4342BFB03E6B}" type="TxLink">
            <a:rPr lang="en-US" sz="1800" b="1" i="0" u="none" strike="noStrike">
              <a:solidFill>
                <a:schemeClr val="bg1"/>
              </a:solidFill>
              <a:latin typeface="Calibri"/>
              <a:ea typeface="Calibri"/>
              <a:cs typeface="Calibri"/>
            </a:rPr>
            <a:pPr marL="0" indent="0" algn="ctr"/>
            <a:t>Estadio final 2025: PROACTIVO</a:t>
          </a:fld>
          <a:endParaRPr lang="es-AR" sz="2800" b="1" i="0" u="none" strike="noStrike">
            <a:solidFill>
              <a:schemeClr val="bg1"/>
            </a:solidFill>
            <a:latin typeface="Calibri"/>
            <a:ea typeface="Calibri"/>
            <a:cs typeface="Calibri"/>
          </a:endParaRPr>
        </a:p>
      </xdr:txBody>
    </xdr:sp>
    <xdr:clientData/>
  </xdr:twoCellAnchor>
  <xdr:twoCellAnchor>
    <xdr:from>
      <xdr:col>16</xdr:col>
      <xdr:colOff>173490</xdr:colOff>
      <xdr:row>6</xdr:row>
      <xdr:rowOff>247653</xdr:rowOff>
    </xdr:from>
    <xdr:to>
      <xdr:col>19</xdr:col>
      <xdr:colOff>49664</xdr:colOff>
      <xdr:row>9</xdr:row>
      <xdr:rowOff>108859</xdr:rowOff>
    </xdr:to>
    <xdr:sp macro="" textlink="'Condicionales 2.0'!P6">
      <xdr:nvSpPr>
        <xdr:cNvPr id="5" name="Rectángulo: esquinas redondeadas 4">
          <a:extLst>
            <a:ext uri="{FF2B5EF4-FFF2-40B4-BE49-F238E27FC236}">
              <a16:creationId xmlns:a16="http://schemas.microsoft.com/office/drawing/2014/main" id="{8270B4AF-AC88-4DD8-82C6-0FAD0BD786FC}"/>
            </a:ext>
          </a:extLst>
        </xdr:cNvPr>
        <xdr:cNvSpPr/>
      </xdr:nvSpPr>
      <xdr:spPr>
        <a:xfrm>
          <a:off x="9007928" y="1712122"/>
          <a:ext cx="2376486" cy="682737"/>
        </a:xfrm>
        <a:prstGeom prst="roundRect">
          <a:avLst/>
        </a:prstGeom>
        <a:solidFill>
          <a:schemeClr val="tx2">
            <a:lumMod val="7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278E88F4-1F98-443A-A987-48BCDC84F6B9}" type="TxLink">
            <a:rPr lang="en-US" sz="1200" b="1" i="0" u="none" strike="noStrike">
              <a:solidFill>
                <a:schemeClr val="bg1"/>
              </a:solidFill>
              <a:latin typeface="Calibri"/>
              <a:ea typeface="Calibri"/>
              <a:cs typeface="Calibri"/>
            </a:rPr>
            <a:pPr marL="0" indent="0" algn="ctr"/>
            <a:t>BPLs Críticas Cumplidas 12 de 12</a:t>
          </a:fld>
          <a:endParaRPr lang="es-AR" sz="3200" b="1">
            <a:solidFill>
              <a:schemeClr val="bg1"/>
            </a:solidFill>
            <a:latin typeface="+mn-lt"/>
            <a:ea typeface="+mn-ea"/>
            <a:cs typeface="+mn-cs"/>
          </a:endParaRPr>
        </a:p>
      </xdr:txBody>
    </xdr:sp>
    <xdr:clientData/>
  </xdr:twoCellAnchor>
  <xdr:twoCellAnchor>
    <xdr:from>
      <xdr:col>12</xdr:col>
      <xdr:colOff>511968</xdr:colOff>
      <xdr:row>6</xdr:row>
      <xdr:rowOff>190498</xdr:rowOff>
    </xdr:from>
    <xdr:to>
      <xdr:col>14</xdr:col>
      <xdr:colOff>35719</xdr:colOff>
      <xdr:row>9</xdr:row>
      <xdr:rowOff>23812</xdr:rowOff>
    </xdr:to>
    <xdr:sp macro="" textlink="'Resumen  - Se oculta 2,0'!D41">
      <xdr:nvSpPr>
        <xdr:cNvPr id="6" name="Rectángulo: esquinas redondeadas 5">
          <a:extLst>
            <a:ext uri="{FF2B5EF4-FFF2-40B4-BE49-F238E27FC236}">
              <a16:creationId xmlns:a16="http://schemas.microsoft.com/office/drawing/2014/main" id="{0AEB3034-BD46-4125-B0F8-4AFE6D8C3477}"/>
            </a:ext>
          </a:extLst>
        </xdr:cNvPr>
        <xdr:cNvSpPr/>
      </xdr:nvSpPr>
      <xdr:spPr>
        <a:xfrm>
          <a:off x="6893718" y="1654967"/>
          <a:ext cx="1190626" cy="654845"/>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7BB9D6E3-90A3-45B5-A974-864B4C2C4455}" type="TxLink">
            <a:rPr lang="en-US" sz="1050" b="1" i="0" u="none" strike="noStrike">
              <a:solidFill>
                <a:schemeClr val="bg1"/>
              </a:solidFill>
              <a:latin typeface="Calibri"/>
              <a:ea typeface="Calibri"/>
              <a:cs typeface="Calibri"/>
            </a:rPr>
            <a:pPr marL="0" indent="0" algn="ctr"/>
            <a:t>95,7% PROACTIVO</a:t>
          </a:fld>
          <a:endParaRPr lang="es-AR" sz="900" b="1" i="0" u="none" strike="noStrike">
            <a:solidFill>
              <a:schemeClr val="bg1"/>
            </a:solidFill>
            <a:latin typeface="Calibri"/>
            <a:ea typeface="Calibri"/>
            <a:cs typeface="Calibri"/>
          </a:endParaRPr>
        </a:p>
      </xdr:txBody>
    </xdr:sp>
    <xdr:clientData/>
  </xdr:twoCellAnchor>
  <xdr:twoCellAnchor>
    <xdr:from>
      <xdr:col>12</xdr:col>
      <xdr:colOff>511974</xdr:colOff>
      <xdr:row>9</xdr:row>
      <xdr:rowOff>166692</xdr:rowOff>
    </xdr:from>
    <xdr:to>
      <xdr:col>14</xdr:col>
      <xdr:colOff>35719</xdr:colOff>
      <xdr:row>10</xdr:row>
      <xdr:rowOff>166689</xdr:rowOff>
    </xdr:to>
    <xdr:sp macro="" textlink="'Resumen  - Se oculta 2,0'!L9">
      <xdr:nvSpPr>
        <xdr:cNvPr id="7" name="Rectángulo: esquinas redondeadas 6">
          <a:extLst>
            <a:ext uri="{FF2B5EF4-FFF2-40B4-BE49-F238E27FC236}">
              <a16:creationId xmlns:a16="http://schemas.microsoft.com/office/drawing/2014/main" id="{8A163184-B88C-4E38-8F7E-A69BCF481074}"/>
            </a:ext>
          </a:extLst>
        </xdr:cNvPr>
        <xdr:cNvSpPr/>
      </xdr:nvSpPr>
      <xdr:spPr>
        <a:xfrm>
          <a:off x="6893724" y="2452692"/>
          <a:ext cx="1190620" cy="273841"/>
        </a:xfrm>
        <a:prstGeom prst="roundRect">
          <a:avLst/>
        </a:prstGeom>
        <a:solidFill>
          <a:schemeClr val="accent1">
            <a:lumMod val="60000"/>
            <a:lumOff val="4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82D2A9BF-57CF-4344-A83D-0747A64CB92C}" type="TxLink">
            <a:rPr lang="en-US" sz="1200" b="1" i="0" u="none" strike="noStrike">
              <a:solidFill>
                <a:srgbClr val="000000"/>
              </a:solidFill>
              <a:latin typeface="Calibri"/>
              <a:ea typeface="Calibri"/>
              <a:cs typeface="Calibri"/>
            </a:rPr>
            <a:pPr marL="0" indent="0" algn="ctr"/>
            <a:t>--1,2 pp vs AA</a:t>
          </a:fld>
          <a:endParaRPr lang="es-AR" sz="1100" b="1" i="0" u="none" strike="noStrike">
            <a:solidFill>
              <a:srgbClr val="FFFFFF"/>
            </a:solidFill>
            <a:latin typeface="Calibri"/>
            <a:ea typeface="Calibri"/>
            <a:cs typeface="Calibri"/>
          </a:endParaRPr>
        </a:p>
      </xdr:txBody>
    </xdr:sp>
    <xdr:clientData/>
  </xdr:twoCellAnchor>
  <xdr:twoCellAnchor>
    <xdr:from>
      <xdr:col>14</xdr:col>
      <xdr:colOff>286092</xdr:colOff>
      <xdr:row>7</xdr:row>
      <xdr:rowOff>30963</xdr:rowOff>
    </xdr:from>
    <xdr:to>
      <xdr:col>14</xdr:col>
      <xdr:colOff>684102</xdr:colOff>
      <xdr:row>8</xdr:row>
      <xdr:rowOff>199351</xdr:rowOff>
    </xdr:to>
    <xdr:sp macro="" textlink="">
      <xdr:nvSpPr>
        <xdr:cNvPr id="9" name="Flecha: a la derecha 8">
          <a:extLst>
            <a:ext uri="{FF2B5EF4-FFF2-40B4-BE49-F238E27FC236}">
              <a16:creationId xmlns:a16="http://schemas.microsoft.com/office/drawing/2014/main" id="{67E61B6C-971D-49C5-B2DC-73816627AB46}"/>
            </a:ext>
          </a:extLst>
        </xdr:cNvPr>
        <xdr:cNvSpPr/>
      </xdr:nvSpPr>
      <xdr:spPr>
        <a:xfrm>
          <a:off x="8334717" y="1769276"/>
          <a:ext cx="398010" cy="44223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12</xdr:col>
      <xdr:colOff>52390</xdr:colOff>
      <xdr:row>7</xdr:row>
      <xdr:rowOff>64299</xdr:rowOff>
    </xdr:from>
    <xdr:to>
      <xdr:col>12</xdr:col>
      <xdr:colOff>457202</xdr:colOff>
      <xdr:row>8</xdr:row>
      <xdr:rowOff>230986</xdr:rowOff>
    </xdr:to>
    <xdr:sp macro="" textlink="">
      <xdr:nvSpPr>
        <xdr:cNvPr id="14" name="Flecha: a la derecha 13">
          <a:extLst>
            <a:ext uri="{FF2B5EF4-FFF2-40B4-BE49-F238E27FC236}">
              <a16:creationId xmlns:a16="http://schemas.microsoft.com/office/drawing/2014/main" id="{10DF93CA-2467-4483-8AAA-7E8AFC2B7D8F}"/>
            </a:ext>
          </a:extLst>
        </xdr:cNvPr>
        <xdr:cNvSpPr/>
      </xdr:nvSpPr>
      <xdr:spPr>
        <a:xfrm>
          <a:off x="4710115" y="1826424"/>
          <a:ext cx="404812" cy="44291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14</xdr:col>
      <xdr:colOff>567759</xdr:colOff>
      <xdr:row>12</xdr:row>
      <xdr:rowOff>220788</xdr:rowOff>
    </xdr:from>
    <xdr:to>
      <xdr:col>16</xdr:col>
      <xdr:colOff>220776</xdr:colOff>
      <xdr:row>14</xdr:row>
      <xdr:rowOff>81314</xdr:rowOff>
    </xdr:to>
    <xdr:sp macro="" textlink="">
      <xdr:nvSpPr>
        <xdr:cNvPr id="15" name="Flecha: a la derecha 14">
          <a:extLst>
            <a:ext uri="{FF2B5EF4-FFF2-40B4-BE49-F238E27FC236}">
              <a16:creationId xmlns:a16="http://schemas.microsoft.com/office/drawing/2014/main" id="{835299B5-C8CF-4E31-B615-78C0EC9B3945}"/>
            </a:ext>
          </a:extLst>
        </xdr:cNvPr>
        <xdr:cNvSpPr/>
      </xdr:nvSpPr>
      <xdr:spPr>
        <a:xfrm rot="5400000">
          <a:off x="7953036" y="3313011"/>
          <a:ext cx="408214" cy="43882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15</xdr:col>
      <xdr:colOff>47625</xdr:colOff>
      <xdr:row>0</xdr:row>
      <xdr:rowOff>178594</xdr:rowOff>
    </xdr:from>
    <xdr:to>
      <xdr:col>19</xdr:col>
      <xdr:colOff>61167</xdr:colOff>
      <xdr:row>2</xdr:row>
      <xdr:rowOff>258566</xdr:rowOff>
    </xdr:to>
    <xdr:pic>
      <xdr:nvPicPr>
        <xdr:cNvPr id="19" name="Imagen 18" descr="Texto&#10;&#10;Descripción generada automáticamente">
          <a:extLst>
            <a:ext uri="{FF2B5EF4-FFF2-40B4-BE49-F238E27FC236}">
              <a16:creationId xmlns:a16="http://schemas.microsoft.com/office/drawing/2014/main" id="{C86AB3B5-D15E-4EF8-9EAC-8EEBEEEEA0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20063" y="178594"/>
          <a:ext cx="2597198" cy="603847"/>
        </a:xfrm>
        <a:prstGeom prst="rect">
          <a:avLst/>
        </a:prstGeom>
      </xdr:spPr>
    </xdr:pic>
    <xdr:clientData/>
  </xdr:twoCellAnchor>
  <xdr:twoCellAnchor editAs="oneCell">
    <xdr:from>
      <xdr:col>13</xdr:col>
      <xdr:colOff>452438</xdr:colOff>
      <xdr:row>0</xdr:row>
      <xdr:rowOff>80916</xdr:rowOff>
    </xdr:from>
    <xdr:to>
      <xdr:col>15</xdr:col>
      <xdr:colOff>0</xdr:colOff>
      <xdr:row>3</xdr:row>
      <xdr:rowOff>26182</xdr:rowOff>
    </xdr:to>
    <xdr:pic>
      <xdr:nvPicPr>
        <xdr:cNvPr id="20" name="Imagen 19">
          <a:extLst>
            <a:ext uri="{FF2B5EF4-FFF2-40B4-BE49-F238E27FC236}">
              <a16:creationId xmlns:a16="http://schemas.microsoft.com/office/drawing/2014/main" id="{91322AE1-AE72-4F97-9697-E98B55E150B2}"/>
            </a:ext>
          </a:extLst>
        </xdr:cNvPr>
        <xdr:cNvPicPr>
          <a:picLocks noChangeAspect="1"/>
        </xdr:cNvPicPr>
      </xdr:nvPicPr>
      <xdr:blipFill rotWithShape="1">
        <a:blip xmlns:r="http://schemas.openxmlformats.org/officeDocument/2006/relationships" r:embed="rId2"/>
        <a:srcRect l="16340" t="25839" r="16340" b="13805"/>
        <a:stretch/>
      </xdr:blipFill>
      <xdr:spPr>
        <a:xfrm>
          <a:off x="6988969" y="80916"/>
          <a:ext cx="1083468" cy="731079"/>
        </a:xfrm>
        <a:prstGeom prst="ellipse">
          <a:avLst/>
        </a:prstGeom>
      </xdr:spPr>
    </xdr:pic>
    <xdr:clientData/>
  </xdr:twoCellAnchor>
  <xdr:twoCellAnchor>
    <xdr:from>
      <xdr:col>16</xdr:col>
      <xdr:colOff>433053</xdr:colOff>
      <xdr:row>9</xdr:row>
      <xdr:rowOff>245954</xdr:rowOff>
    </xdr:from>
    <xdr:to>
      <xdr:col>18</xdr:col>
      <xdr:colOff>656886</xdr:colOff>
      <xdr:row>10</xdr:row>
      <xdr:rowOff>245951</xdr:rowOff>
    </xdr:to>
    <xdr:sp macro="" textlink="'Condicionales 2.0'!H19">
      <xdr:nvSpPr>
        <xdr:cNvPr id="21" name="Rectángulo: esquinas redondeadas 20">
          <a:extLst>
            <a:ext uri="{FF2B5EF4-FFF2-40B4-BE49-F238E27FC236}">
              <a16:creationId xmlns:a16="http://schemas.microsoft.com/office/drawing/2014/main" id="{1470F485-3E72-467A-A2F2-3DE07FAA2B7D}"/>
            </a:ext>
          </a:extLst>
        </xdr:cNvPr>
        <xdr:cNvSpPr/>
      </xdr:nvSpPr>
      <xdr:spPr>
        <a:xfrm>
          <a:off x="9267491" y="2531954"/>
          <a:ext cx="1890708" cy="273841"/>
        </a:xfrm>
        <a:prstGeom prst="roundRect">
          <a:avLst/>
        </a:prstGeom>
        <a:solidFill>
          <a:schemeClr val="tx1">
            <a:lumMod val="75000"/>
            <a:lumOff val="2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4118D17C-4831-473B-8A9E-5CB966F391A5}" type="TxLink">
            <a:rPr lang="en-US" sz="1400" b="1" i="0" u="none" strike="noStrike">
              <a:solidFill>
                <a:schemeClr val="bg1"/>
              </a:solidFill>
              <a:latin typeface="Calibri"/>
              <a:ea typeface="Calibri"/>
              <a:cs typeface="Calibri"/>
            </a:rPr>
            <a:pPr marL="0" indent="0" algn="ctr"/>
            <a:t>100%</a:t>
          </a:fld>
          <a:endParaRPr lang="es-AR" sz="1200" b="1" i="0" u="none" strike="noStrike">
            <a:solidFill>
              <a:schemeClr val="bg1"/>
            </a:solidFill>
            <a:latin typeface="Calibri"/>
            <a:ea typeface="Calibri"/>
            <a:cs typeface="Calibri"/>
          </a:endParaRPr>
        </a:p>
      </xdr:txBody>
    </xdr:sp>
    <xdr:clientData/>
  </xdr:twoCellAnchor>
  <xdr:twoCellAnchor>
    <xdr:from>
      <xdr:col>12</xdr:col>
      <xdr:colOff>0</xdr:colOff>
      <xdr:row>12</xdr:row>
      <xdr:rowOff>35716</xdr:rowOff>
    </xdr:from>
    <xdr:to>
      <xdr:col>19</xdr:col>
      <xdr:colOff>119062</xdr:colOff>
      <xdr:row>12</xdr:row>
      <xdr:rowOff>142873</xdr:rowOff>
    </xdr:to>
    <xdr:sp macro="" textlink="">
      <xdr:nvSpPr>
        <xdr:cNvPr id="22" name="Rectángulo 21">
          <a:extLst>
            <a:ext uri="{FF2B5EF4-FFF2-40B4-BE49-F238E27FC236}">
              <a16:creationId xmlns:a16="http://schemas.microsoft.com/office/drawing/2014/main" id="{3933F5DA-5CA5-754D-784C-B8D7231D1B44}"/>
            </a:ext>
          </a:extLst>
        </xdr:cNvPr>
        <xdr:cNvSpPr/>
      </xdr:nvSpPr>
      <xdr:spPr>
        <a:xfrm>
          <a:off x="5703094" y="3143247"/>
          <a:ext cx="5072062" cy="107157"/>
        </a:xfrm>
        <a:prstGeom prst="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12</xdr:col>
      <xdr:colOff>527979</xdr:colOff>
      <xdr:row>20</xdr:row>
      <xdr:rowOff>119062</xdr:rowOff>
    </xdr:from>
    <xdr:to>
      <xdr:col>18</xdr:col>
      <xdr:colOff>576601</xdr:colOff>
      <xdr:row>27</xdr:row>
      <xdr:rowOff>76540</xdr:rowOff>
    </xdr:to>
    <xdr:pic>
      <xdr:nvPicPr>
        <xdr:cNvPr id="23" name="Imagen 22">
          <a:extLst>
            <a:ext uri="{FF2B5EF4-FFF2-40B4-BE49-F238E27FC236}">
              <a16:creationId xmlns:a16="http://schemas.microsoft.com/office/drawing/2014/main" id="{655072D3-AB71-41B2-91A7-3E8D3004BD77}"/>
            </a:ext>
          </a:extLst>
        </xdr:cNvPr>
        <xdr:cNvPicPr>
          <a:picLocks noChangeAspect="1"/>
        </xdr:cNvPicPr>
      </xdr:nvPicPr>
      <xdr:blipFill rotWithShape="1">
        <a:blip xmlns:r="http://schemas.openxmlformats.org/officeDocument/2006/relationships" r:embed="rId3"/>
        <a:srcRect l="4487" t="4815" r="3342" b="3706"/>
        <a:stretch/>
      </xdr:blipFill>
      <xdr:spPr>
        <a:xfrm>
          <a:off x="6909729" y="4274343"/>
          <a:ext cx="4168185" cy="1445760"/>
        </a:xfrm>
        <a:prstGeom prst="rect">
          <a:avLst/>
        </a:prstGeom>
      </xdr:spPr>
    </xdr:pic>
    <xdr:clientData/>
  </xdr:twoCellAnchor>
  <xdr:twoCellAnchor>
    <xdr:from>
      <xdr:col>11</xdr:col>
      <xdr:colOff>104775</xdr:colOff>
      <xdr:row>19</xdr:row>
      <xdr:rowOff>57146</xdr:rowOff>
    </xdr:from>
    <xdr:to>
      <xdr:col>19</xdr:col>
      <xdr:colOff>116681</xdr:colOff>
      <xdr:row>19</xdr:row>
      <xdr:rowOff>164303</xdr:rowOff>
    </xdr:to>
    <xdr:sp macro="" textlink="">
      <xdr:nvSpPr>
        <xdr:cNvPr id="24" name="Rectángulo 23">
          <a:extLst>
            <a:ext uri="{FF2B5EF4-FFF2-40B4-BE49-F238E27FC236}">
              <a16:creationId xmlns:a16="http://schemas.microsoft.com/office/drawing/2014/main" id="{CAF7962A-CD74-4567-8C18-306228E739C1}"/>
            </a:ext>
          </a:extLst>
        </xdr:cNvPr>
        <xdr:cNvSpPr/>
      </xdr:nvSpPr>
      <xdr:spPr>
        <a:xfrm>
          <a:off x="5700713" y="5081584"/>
          <a:ext cx="5072062" cy="107157"/>
        </a:xfrm>
        <a:prstGeom prst="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108856</xdr:colOff>
      <xdr:row>0</xdr:row>
      <xdr:rowOff>95250</xdr:rowOff>
    </xdr:from>
    <xdr:to>
      <xdr:col>2</xdr:col>
      <xdr:colOff>966107</xdr:colOff>
      <xdr:row>3</xdr:row>
      <xdr:rowOff>244928</xdr:rowOff>
    </xdr:to>
    <xdr:pic>
      <xdr:nvPicPr>
        <xdr:cNvPr id="2" name="Imagen 1">
          <a:extLst>
            <a:ext uri="{FF2B5EF4-FFF2-40B4-BE49-F238E27FC236}">
              <a16:creationId xmlns:a16="http://schemas.microsoft.com/office/drawing/2014/main" id="{F0776522-AB3D-4054-BA22-A6727DE9B1C2}"/>
            </a:ext>
          </a:extLst>
        </xdr:cNvPr>
        <xdr:cNvPicPr>
          <a:picLocks noChangeAspect="1"/>
        </xdr:cNvPicPr>
      </xdr:nvPicPr>
      <xdr:blipFill rotWithShape="1">
        <a:blip xmlns:r="http://schemas.openxmlformats.org/officeDocument/2006/relationships" r:embed="rId1"/>
        <a:srcRect l="10308" t="20545" r="9438" b="9015"/>
        <a:stretch/>
      </xdr:blipFill>
      <xdr:spPr>
        <a:xfrm>
          <a:off x="442231" y="0"/>
          <a:ext cx="1476376" cy="9783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108856</xdr:colOff>
      <xdr:row>0</xdr:row>
      <xdr:rowOff>95250</xdr:rowOff>
    </xdr:from>
    <xdr:to>
      <xdr:col>2</xdr:col>
      <xdr:colOff>966107</xdr:colOff>
      <xdr:row>3</xdr:row>
      <xdr:rowOff>244928</xdr:rowOff>
    </xdr:to>
    <xdr:pic>
      <xdr:nvPicPr>
        <xdr:cNvPr id="2" name="Imagen 1">
          <a:extLst>
            <a:ext uri="{FF2B5EF4-FFF2-40B4-BE49-F238E27FC236}">
              <a16:creationId xmlns:a16="http://schemas.microsoft.com/office/drawing/2014/main" id="{9F0924C7-A3A8-4DE8-94ED-878EF6F7DCC2}"/>
            </a:ext>
          </a:extLst>
        </xdr:cNvPr>
        <xdr:cNvPicPr>
          <a:picLocks noChangeAspect="1"/>
        </xdr:cNvPicPr>
      </xdr:nvPicPr>
      <xdr:blipFill rotWithShape="1">
        <a:blip xmlns:r="http://schemas.openxmlformats.org/officeDocument/2006/relationships" r:embed="rId1"/>
        <a:srcRect l="10308" t="20545" r="9438" b="9015"/>
        <a:stretch/>
      </xdr:blipFill>
      <xdr:spPr>
        <a:xfrm>
          <a:off x="442231" y="0"/>
          <a:ext cx="1476376" cy="9783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108856</xdr:colOff>
      <xdr:row>0</xdr:row>
      <xdr:rowOff>95250</xdr:rowOff>
    </xdr:from>
    <xdr:to>
      <xdr:col>2</xdr:col>
      <xdr:colOff>966107</xdr:colOff>
      <xdr:row>3</xdr:row>
      <xdr:rowOff>244928</xdr:rowOff>
    </xdr:to>
    <xdr:pic>
      <xdr:nvPicPr>
        <xdr:cNvPr id="2" name="Imagen 1">
          <a:extLst>
            <a:ext uri="{FF2B5EF4-FFF2-40B4-BE49-F238E27FC236}">
              <a16:creationId xmlns:a16="http://schemas.microsoft.com/office/drawing/2014/main" id="{DBF4C63C-E65B-4364-826B-0CFA1DEBAFCB}"/>
            </a:ext>
          </a:extLst>
        </xdr:cNvPr>
        <xdr:cNvPicPr>
          <a:picLocks noChangeAspect="1"/>
        </xdr:cNvPicPr>
      </xdr:nvPicPr>
      <xdr:blipFill rotWithShape="1">
        <a:blip xmlns:r="http://schemas.openxmlformats.org/officeDocument/2006/relationships" r:embed="rId1"/>
        <a:srcRect l="10308" t="20545" r="9438" b="9015"/>
        <a:stretch/>
      </xdr:blipFill>
      <xdr:spPr>
        <a:xfrm>
          <a:off x="442231" y="0"/>
          <a:ext cx="1476376" cy="9783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108856</xdr:colOff>
      <xdr:row>0</xdr:row>
      <xdr:rowOff>95250</xdr:rowOff>
    </xdr:from>
    <xdr:to>
      <xdr:col>2</xdr:col>
      <xdr:colOff>966107</xdr:colOff>
      <xdr:row>3</xdr:row>
      <xdr:rowOff>244928</xdr:rowOff>
    </xdr:to>
    <xdr:pic>
      <xdr:nvPicPr>
        <xdr:cNvPr id="2" name="Imagen 1">
          <a:extLst>
            <a:ext uri="{FF2B5EF4-FFF2-40B4-BE49-F238E27FC236}">
              <a16:creationId xmlns:a16="http://schemas.microsoft.com/office/drawing/2014/main" id="{C362A0D7-D7DB-4EAF-A84A-9829389A1533}"/>
            </a:ext>
          </a:extLst>
        </xdr:cNvPr>
        <xdr:cNvPicPr>
          <a:picLocks noChangeAspect="1"/>
        </xdr:cNvPicPr>
      </xdr:nvPicPr>
      <xdr:blipFill rotWithShape="1">
        <a:blip xmlns:r="http://schemas.openxmlformats.org/officeDocument/2006/relationships" r:embed="rId1"/>
        <a:srcRect l="10308" t="20545" r="9438" b="9015"/>
        <a:stretch/>
      </xdr:blipFill>
      <xdr:spPr>
        <a:xfrm>
          <a:off x="442231" y="0"/>
          <a:ext cx="1476376" cy="9783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370418</xdr:colOff>
      <xdr:row>2</xdr:row>
      <xdr:rowOff>141111</xdr:rowOff>
    </xdr:from>
    <xdr:to>
      <xdr:col>1</xdr:col>
      <xdr:colOff>2101146</xdr:colOff>
      <xdr:row>2</xdr:row>
      <xdr:rowOff>1307630</xdr:rowOff>
    </xdr:to>
    <xdr:pic>
      <xdr:nvPicPr>
        <xdr:cNvPr id="2" name="Imagen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624418" y="553861"/>
          <a:ext cx="1730728" cy="1166519"/>
        </a:xfrm>
        <a:prstGeom prst="rect">
          <a:avLst/>
        </a:prstGeom>
      </xdr:spPr>
    </xdr:pic>
    <xdr:clientData/>
  </xdr:twoCellAnchor>
  <xdr:twoCellAnchor editAs="oneCell">
    <xdr:from>
      <xdr:col>9</xdr:col>
      <xdr:colOff>69272</xdr:colOff>
      <xdr:row>1</xdr:row>
      <xdr:rowOff>173182</xdr:rowOff>
    </xdr:from>
    <xdr:to>
      <xdr:col>9</xdr:col>
      <xdr:colOff>2733867</xdr:colOff>
      <xdr:row>2</xdr:row>
      <xdr:rowOff>1208765</xdr:rowOff>
    </xdr:to>
    <xdr:pic>
      <xdr:nvPicPr>
        <xdr:cNvPr id="3" name="Imagen 2">
          <a:extLst>
            <a:ext uri="{FF2B5EF4-FFF2-40B4-BE49-F238E27FC236}">
              <a16:creationId xmlns:a16="http://schemas.microsoft.com/office/drawing/2014/main" id="{F0D30E79-001F-AD2A-3FA5-D1032949B6C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28512"/>
        <a:stretch/>
      </xdr:blipFill>
      <xdr:spPr bwMode="auto">
        <a:xfrm>
          <a:off x="17006454" y="381000"/>
          <a:ext cx="2664595" cy="1243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68034</xdr:colOff>
      <xdr:row>0</xdr:row>
      <xdr:rowOff>81643</xdr:rowOff>
    </xdr:from>
    <xdr:to>
      <xdr:col>23</xdr:col>
      <xdr:colOff>23812</xdr:colOff>
      <xdr:row>3</xdr:row>
      <xdr:rowOff>0</xdr:rowOff>
    </xdr:to>
    <xdr:sp macro="" textlink="">
      <xdr:nvSpPr>
        <xdr:cNvPr id="4" name="Rectángulo: esquinas redondeadas 3">
          <a:extLst>
            <a:ext uri="{FF2B5EF4-FFF2-40B4-BE49-F238E27FC236}">
              <a16:creationId xmlns:a16="http://schemas.microsoft.com/office/drawing/2014/main" id="{6110000D-307A-4DAD-B1D5-3C6A0D80AEC3}"/>
            </a:ext>
          </a:extLst>
        </xdr:cNvPr>
        <xdr:cNvSpPr/>
      </xdr:nvSpPr>
      <xdr:spPr>
        <a:xfrm>
          <a:off x="68034" y="81643"/>
          <a:ext cx="13981341" cy="70417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s-AR" sz="3200" b="1"/>
            <a:t>Dashboard General - </a:t>
          </a:r>
          <a:r>
            <a:rPr lang="es-AR" sz="2000" b="1"/>
            <a:t>Edición</a:t>
          </a:r>
          <a:r>
            <a:rPr lang="es-AR" sz="2000" b="1" baseline="0"/>
            <a:t> 2025</a:t>
          </a:r>
          <a:endParaRPr lang="es-AR" sz="3200" b="1"/>
        </a:p>
      </xdr:txBody>
    </xdr:sp>
    <xdr:clientData/>
  </xdr:twoCellAnchor>
  <xdr:twoCellAnchor>
    <xdr:from>
      <xdr:col>8</xdr:col>
      <xdr:colOff>166691</xdr:colOff>
      <xdr:row>4</xdr:row>
      <xdr:rowOff>23811</xdr:rowOff>
    </xdr:from>
    <xdr:to>
      <xdr:col>23</xdr:col>
      <xdr:colOff>23812</xdr:colOff>
      <xdr:row>6</xdr:row>
      <xdr:rowOff>23809</xdr:rowOff>
    </xdr:to>
    <xdr:sp macro="" textlink="">
      <xdr:nvSpPr>
        <xdr:cNvPr id="13" name="Rectángulo: esquinas redondeadas 12">
          <a:extLst>
            <a:ext uri="{FF2B5EF4-FFF2-40B4-BE49-F238E27FC236}">
              <a16:creationId xmlns:a16="http://schemas.microsoft.com/office/drawing/2014/main" id="{E63393CB-3B66-D3FA-A876-0612AE72AC7A}"/>
            </a:ext>
          </a:extLst>
        </xdr:cNvPr>
        <xdr:cNvSpPr/>
      </xdr:nvSpPr>
      <xdr:spPr>
        <a:xfrm>
          <a:off x="4822035" y="940592"/>
          <a:ext cx="9227340" cy="547686"/>
        </a:xfrm>
        <a:prstGeom prst="roundRect">
          <a:avLst/>
        </a:prstGeom>
        <a:solidFill>
          <a:schemeClr val="bg2">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r>
            <a:rPr lang="es-AR" sz="1800" b="1">
              <a:solidFill>
                <a:schemeClr val="lt1"/>
              </a:solidFill>
              <a:latin typeface="+mn-lt"/>
              <a:ea typeface="+mn-ea"/>
              <a:cs typeface="+mn-cs"/>
            </a:rPr>
            <a:t>Evaluación 2025</a:t>
          </a:r>
        </a:p>
      </xdr:txBody>
    </xdr:sp>
    <xdr:clientData/>
  </xdr:twoCellAnchor>
  <xdr:twoCellAnchor>
    <xdr:from>
      <xdr:col>12</xdr:col>
      <xdr:colOff>154781</xdr:colOff>
      <xdr:row>6</xdr:row>
      <xdr:rowOff>90494</xdr:rowOff>
    </xdr:from>
    <xdr:to>
      <xdr:col>14</xdr:col>
      <xdr:colOff>666750</xdr:colOff>
      <xdr:row>10</xdr:row>
      <xdr:rowOff>95250</xdr:rowOff>
    </xdr:to>
    <xdr:sp macro="" textlink="'Resumen  - Se oculta 5,0'!D135">
      <xdr:nvSpPr>
        <xdr:cNvPr id="20" name="Rectángulo: esquinas redondeadas 19">
          <a:extLst>
            <a:ext uri="{FF2B5EF4-FFF2-40B4-BE49-F238E27FC236}">
              <a16:creationId xmlns:a16="http://schemas.microsoft.com/office/drawing/2014/main" id="{CFDF3713-3D43-4DC0-85BA-CA40CBABD48C}"/>
            </a:ext>
          </a:extLst>
        </xdr:cNvPr>
        <xdr:cNvSpPr/>
      </xdr:nvSpPr>
      <xdr:spPr>
        <a:xfrm>
          <a:off x="7536656" y="1554963"/>
          <a:ext cx="2178844" cy="1100131"/>
        </a:xfrm>
        <a:prstGeom prst="roundRect">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2C7DA89-A530-42D2-99F9-379FA806371F}" type="TxLink">
            <a:rPr lang="en-US" sz="1800" b="1" i="0" u="none" strike="noStrike">
              <a:solidFill>
                <a:schemeClr val="bg1"/>
              </a:solidFill>
              <a:latin typeface="Calibri"/>
              <a:ea typeface="Calibri"/>
              <a:cs typeface="Calibri"/>
            </a:rPr>
            <a:pPr marL="0" indent="0" algn="ctr"/>
            <a:t>Estadio final 2025: INACTIVO</a:t>
          </a:fld>
          <a:endParaRPr lang="es-AR" sz="1800" b="1" i="0" u="none" strike="noStrike">
            <a:solidFill>
              <a:schemeClr val="bg1"/>
            </a:solidFill>
            <a:latin typeface="Calibri"/>
            <a:ea typeface="Calibri"/>
            <a:cs typeface="Calibri"/>
          </a:endParaRPr>
        </a:p>
      </xdr:txBody>
    </xdr:sp>
    <xdr:clientData/>
  </xdr:twoCellAnchor>
  <xdr:twoCellAnchor>
    <xdr:from>
      <xdr:col>8</xdr:col>
      <xdr:colOff>107156</xdr:colOff>
      <xdr:row>12</xdr:row>
      <xdr:rowOff>128590</xdr:rowOff>
    </xdr:from>
    <xdr:to>
      <xdr:col>10</xdr:col>
      <xdr:colOff>535780</xdr:colOff>
      <xdr:row>14</xdr:row>
      <xdr:rowOff>261938</xdr:rowOff>
    </xdr:to>
    <xdr:sp macro="" textlink="Condicionales!O17">
      <xdr:nvSpPr>
        <xdr:cNvPr id="21" name="Rectángulo: esquinas redondeadas 20">
          <a:extLst>
            <a:ext uri="{FF2B5EF4-FFF2-40B4-BE49-F238E27FC236}">
              <a16:creationId xmlns:a16="http://schemas.microsoft.com/office/drawing/2014/main" id="{1479B557-6861-4B7C-9CAD-F6A4475E11AD}"/>
            </a:ext>
          </a:extLst>
        </xdr:cNvPr>
        <xdr:cNvSpPr/>
      </xdr:nvSpPr>
      <xdr:spPr>
        <a:xfrm>
          <a:off x="5036344" y="3236121"/>
          <a:ext cx="2095499" cy="681036"/>
        </a:xfrm>
        <a:prstGeom prst="roundRect">
          <a:avLst/>
        </a:prstGeom>
        <a:solidFill>
          <a:schemeClr val="bg2">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1C01DCFD-DD32-4DE5-9BFB-103944604671}" type="TxLink">
            <a:rPr lang="en-US" sz="1600" b="1" i="0" u="none" strike="noStrike">
              <a:solidFill>
                <a:schemeClr val="bg1"/>
              </a:solidFill>
              <a:latin typeface="Calibri"/>
              <a:ea typeface="Calibri"/>
              <a:cs typeface="Calibri"/>
            </a:rPr>
            <a:pPr marL="0" indent="0" algn="ctr"/>
            <a:t>BPLs Condicionales: 38 Cumplidas de 50</a:t>
          </a:fld>
          <a:endParaRPr lang="es-AR" sz="2400" b="1">
            <a:solidFill>
              <a:schemeClr val="bg1"/>
            </a:solidFill>
            <a:latin typeface="+mn-lt"/>
            <a:ea typeface="+mn-ea"/>
            <a:cs typeface="+mn-cs"/>
          </a:endParaRPr>
        </a:p>
      </xdr:txBody>
    </xdr:sp>
    <xdr:clientData/>
  </xdr:twoCellAnchor>
  <xdr:twoCellAnchor>
    <xdr:from>
      <xdr:col>8</xdr:col>
      <xdr:colOff>535785</xdr:colOff>
      <xdr:row>6</xdr:row>
      <xdr:rowOff>107164</xdr:rowOff>
    </xdr:from>
    <xdr:to>
      <xdr:col>10</xdr:col>
      <xdr:colOff>261939</xdr:colOff>
      <xdr:row>9</xdr:row>
      <xdr:rowOff>11914</xdr:rowOff>
    </xdr:to>
    <xdr:sp macro="" textlink="'Resumen  - Se oculta 5,0'!D133">
      <xdr:nvSpPr>
        <xdr:cNvPr id="25" name="Rectángulo: esquinas redondeadas 24">
          <a:extLst>
            <a:ext uri="{FF2B5EF4-FFF2-40B4-BE49-F238E27FC236}">
              <a16:creationId xmlns:a16="http://schemas.microsoft.com/office/drawing/2014/main" id="{30E36E36-1035-873B-225C-204648C919E5}"/>
            </a:ext>
          </a:extLst>
        </xdr:cNvPr>
        <xdr:cNvSpPr/>
      </xdr:nvSpPr>
      <xdr:spPr>
        <a:xfrm>
          <a:off x="5464973" y="1571633"/>
          <a:ext cx="1393029" cy="726281"/>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3E50B97E-4E37-4BD8-932B-66D28A465E6E}" type="TxLink">
            <a:rPr lang="en-US" sz="1800" b="1" i="0" u="none" strike="noStrike">
              <a:solidFill>
                <a:schemeClr val="bg1"/>
              </a:solidFill>
              <a:latin typeface="Calibri"/>
              <a:ea typeface="Calibri"/>
              <a:cs typeface="Calibri"/>
            </a:rPr>
            <a:pPr marL="0" indent="0" algn="ctr"/>
            <a:t>57,6% REACTIVO</a:t>
          </a:fld>
          <a:endParaRPr lang="es-AR" sz="6600" b="1">
            <a:solidFill>
              <a:schemeClr val="bg1"/>
            </a:solidFill>
            <a:latin typeface="+mn-lt"/>
            <a:ea typeface="+mn-ea"/>
            <a:cs typeface="+mn-cs"/>
          </a:endParaRPr>
        </a:p>
      </xdr:txBody>
    </xdr:sp>
    <xdr:clientData/>
  </xdr:twoCellAnchor>
  <xdr:twoCellAnchor>
    <xdr:from>
      <xdr:col>8</xdr:col>
      <xdr:colOff>631036</xdr:colOff>
      <xdr:row>9</xdr:row>
      <xdr:rowOff>95254</xdr:rowOff>
    </xdr:from>
    <xdr:to>
      <xdr:col>10</xdr:col>
      <xdr:colOff>154781</xdr:colOff>
      <xdr:row>10</xdr:row>
      <xdr:rowOff>95251</xdr:rowOff>
    </xdr:to>
    <xdr:sp macro="" textlink="'Resumen  - Se oculta 5,0'!J3">
      <xdr:nvSpPr>
        <xdr:cNvPr id="26" name="Rectángulo: esquinas redondeadas 25">
          <a:extLst>
            <a:ext uri="{FF2B5EF4-FFF2-40B4-BE49-F238E27FC236}">
              <a16:creationId xmlns:a16="http://schemas.microsoft.com/office/drawing/2014/main" id="{63FFF1D1-FD46-CF88-135F-F36AFD3348A0}"/>
            </a:ext>
          </a:extLst>
        </xdr:cNvPr>
        <xdr:cNvSpPr/>
      </xdr:nvSpPr>
      <xdr:spPr>
        <a:xfrm>
          <a:off x="5560224" y="2381254"/>
          <a:ext cx="1190620" cy="273841"/>
        </a:xfrm>
        <a:prstGeom prst="roundRect">
          <a:avLst/>
        </a:prstGeom>
        <a:solidFill>
          <a:schemeClr val="accent1">
            <a:lumMod val="60000"/>
            <a:lumOff val="4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A8DDED81-B3A9-4CCF-979E-C57C5304F5D0}" type="TxLink">
            <a:rPr lang="en-US" sz="1100" b="1" i="0" u="none" strike="noStrike">
              <a:solidFill>
                <a:srgbClr val="FFFFFF"/>
              </a:solidFill>
              <a:latin typeface="Calibri"/>
              <a:ea typeface="Calibri"/>
              <a:cs typeface="Calibri"/>
            </a:rPr>
            <a:pPr marL="0" indent="0" algn="ctr"/>
            <a:t>+57,6 pp vs AA</a:t>
          </a:fld>
          <a:endParaRPr lang="es-AR" sz="1100" b="1" i="0" u="none" strike="noStrike">
            <a:solidFill>
              <a:srgbClr val="FFFFFF"/>
            </a:solidFill>
            <a:latin typeface="Calibri"/>
            <a:ea typeface="Calibri"/>
            <a:cs typeface="Calibri"/>
          </a:endParaRPr>
        </a:p>
      </xdr:txBody>
    </xdr:sp>
    <xdr:clientData/>
  </xdr:twoCellAnchor>
  <xdr:twoCellAnchor>
    <xdr:from>
      <xdr:col>12</xdr:col>
      <xdr:colOff>269075</xdr:colOff>
      <xdr:row>12</xdr:row>
      <xdr:rowOff>114308</xdr:rowOff>
    </xdr:from>
    <xdr:to>
      <xdr:col>14</xdr:col>
      <xdr:colOff>619123</xdr:colOff>
      <xdr:row>15</xdr:row>
      <xdr:rowOff>33345</xdr:rowOff>
    </xdr:to>
    <xdr:sp macro="" textlink="Condicionales!$O$18">
      <xdr:nvSpPr>
        <xdr:cNvPr id="31" name="Rectángulo: esquinas redondeadas 30">
          <a:extLst>
            <a:ext uri="{FF2B5EF4-FFF2-40B4-BE49-F238E27FC236}">
              <a16:creationId xmlns:a16="http://schemas.microsoft.com/office/drawing/2014/main" id="{AA7D3B6D-13FB-4937-80B6-D98061D66837}"/>
            </a:ext>
          </a:extLst>
        </xdr:cNvPr>
        <xdr:cNvSpPr/>
      </xdr:nvSpPr>
      <xdr:spPr>
        <a:xfrm>
          <a:off x="7650950" y="3221839"/>
          <a:ext cx="2016923" cy="740569"/>
        </a:xfrm>
        <a:prstGeom prst="roundRect">
          <a:avLst/>
        </a:prstGeom>
        <a:solidFill>
          <a:schemeClr val="accent5">
            <a:lumMod val="50000"/>
          </a:schemeClr>
        </a:solidFill>
        <a:scene3d>
          <a:camera prst="obliqueBottomLeft"/>
          <a:lightRig rig="threePt" dir="t"/>
        </a:scene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85DE841C-7E86-47E3-8837-8CE04CCE6157}" type="TxLink">
            <a:rPr lang="en-US" sz="1400" b="1" i="0" u="sng" strike="noStrike">
              <a:solidFill>
                <a:schemeClr val="bg1"/>
              </a:solidFill>
              <a:latin typeface="Calibri"/>
              <a:ea typeface="Calibri"/>
              <a:cs typeface="Calibri"/>
            </a:rPr>
            <a:pPr marL="0" indent="0" algn="ctr"/>
            <a:t>CAE 1 ESTADIO</a:t>
          </a:fld>
          <a:endParaRPr lang="es-AR" sz="2400" b="1" u="sng">
            <a:solidFill>
              <a:schemeClr val="bg1"/>
            </a:solidFill>
            <a:latin typeface="Modern Love" panose="04090805081005020601" pitchFamily="82" charset="0"/>
            <a:ea typeface="+mn-ea"/>
            <a:cs typeface="+mn-cs"/>
          </a:endParaRPr>
        </a:p>
      </xdr:txBody>
    </xdr:sp>
    <xdr:clientData/>
  </xdr:twoCellAnchor>
  <xdr:twoCellAnchor>
    <xdr:from>
      <xdr:col>9</xdr:col>
      <xdr:colOff>155975</xdr:colOff>
      <xdr:row>10</xdr:row>
      <xdr:rowOff>179789</xdr:rowOff>
    </xdr:from>
    <xdr:to>
      <xdr:col>9</xdr:col>
      <xdr:colOff>596505</xdr:colOff>
      <xdr:row>12</xdr:row>
      <xdr:rowOff>36914</xdr:rowOff>
    </xdr:to>
    <xdr:sp macro="" textlink="">
      <xdr:nvSpPr>
        <xdr:cNvPr id="32" name="Flecha: a la derecha 31">
          <a:extLst>
            <a:ext uri="{FF2B5EF4-FFF2-40B4-BE49-F238E27FC236}">
              <a16:creationId xmlns:a16="http://schemas.microsoft.com/office/drawing/2014/main" id="{38D341BD-05EF-46E0-92FB-99D4E4EE23F4}"/>
            </a:ext>
          </a:extLst>
        </xdr:cNvPr>
        <xdr:cNvSpPr/>
      </xdr:nvSpPr>
      <xdr:spPr>
        <a:xfrm rot="5400000">
          <a:off x="5936459" y="2721774"/>
          <a:ext cx="404812" cy="4405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16</xdr:col>
      <xdr:colOff>330997</xdr:colOff>
      <xdr:row>7</xdr:row>
      <xdr:rowOff>104780</xdr:rowOff>
    </xdr:from>
    <xdr:to>
      <xdr:col>18</xdr:col>
      <xdr:colOff>57151</xdr:colOff>
      <xdr:row>10</xdr:row>
      <xdr:rowOff>9530</xdr:rowOff>
    </xdr:to>
    <xdr:sp macro="" textlink="'Zoom QA'!W10">
      <xdr:nvSpPr>
        <xdr:cNvPr id="35" name="Rectángulo: esquinas redondeadas 34">
          <a:extLst>
            <a:ext uri="{FF2B5EF4-FFF2-40B4-BE49-F238E27FC236}">
              <a16:creationId xmlns:a16="http://schemas.microsoft.com/office/drawing/2014/main" id="{D146B36F-C5EC-457A-A8E0-31A59FD3F188}"/>
            </a:ext>
          </a:extLst>
        </xdr:cNvPr>
        <xdr:cNvSpPr/>
      </xdr:nvSpPr>
      <xdr:spPr>
        <a:xfrm>
          <a:off x="10308435" y="1843093"/>
          <a:ext cx="1393029" cy="726281"/>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4F7FCDE5-0AD2-4B80-9E55-5A1F94CD1437}" type="TxLink">
            <a:rPr lang="en-US" sz="2400" b="1" i="0" u="none" strike="noStrike">
              <a:solidFill>
                <a:schemeClr val="bg1"/>
              </a:solidFill>
              <a:latin typeface="Calibri"/>
              <a:ea typeface="Calibri"/>
              <a:cs typeface="Calibri"/>
            </a:rPr>
            <a:pPr marL="0" indent="0" algn="ctr"/>
            <a:t>65%</a:t>
          </a:fld>
          <a:endParaRPr lang="es-AR" sz="2400" b="1" i="0" u="none" strike="noStrike">
            <a:solidFill>
              <a:schemeClr val="bg1"/>
            </a:solidFill>
            <a:latin typeface="Calibri"/>
            <a:ea typeface="Calibri"/>
            <a:cs typeface="Calibri"/>
          </a:endParaRPr>
        </a:p>
      </xdr:txBody>
    </xdr:sp>
    <xdr:clientData/>
  </xdr:twoCellAnchor>
  <xdr:twoCellAnchor>
    <xdr:from>
      <xdr:col>18</xdr:col>
      <xdr:colOff>816773</xdr:colOff>
      <xdr:row>12</xdr:row>
      <xdr:rowOff>197650</xdr:rowOff>
    </xdr:from>
    <xdr:to>
      <xdr:col>21</xdr:col>
      <xdr:colOff>173834</xdr:colOff>
      <xdr:row>15</xdr:row>
      <xdr:rowOff>102399</xdr:rowOff>
    </xdr:to>
    <xdr:sp macro="" textlink="'Zoom SUST'!H36">
      <xdr:nvSpPr>
        <xdr:cNvPr id="36" name="Rectángulo: esquinas redondeadas 35">
          <a:extLst>
            <a:ext uri="{FF2B5EF4-FFF2-40B4-BE49-F238E27FC236}">
              <a16:creationId xmlns:a16="http://schemas.microsoft.com/office/drawing/2014/main" id="{AEF7504B-D22C-419B-B59E-0364FF27B805}"/>
            </a:ext>
          </a:extLst>
        </xdr:cNvPr>
        <xdr:cNvSpPr/>
      </xdr:nvSpPr>
      <xdr:spPr>
        <a:xfrm>
          <a:off x="12461086" y="3305181"/>
          <a:ext cx="1393029" cy="726281"/>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FC478FE0-00C6-4127-B348-B1EFBB9C5F96}" type="TxLink">
            <a:rPr lang="en-US" sz="2400" b="1" i="0" u="none" strike="noStrike">
              <a:solidFill>
                <a:schemeClr val="bg1"/>
              </a:solidFill>
              <a:latin typeface="Calibri"/>
              <a:ea typeface="Calibri"/>
              <a:cs typeface="Calibri"/>
            </a:rPr>
            <a:pPr marL="0" indent="0" algn="ctr"/>
            <a:t>19%</a:t>
          </a:fld>
          <a:endParaRPr lang="es-AR" sz="8000" b="1">
            <a:solidFill>
              <a:schemeClr val="bg1"/>
            </a:solidFill>
            <a:latin typeface="+mn-lt"/>
            <a:ea typeface="+mn-ea"/>
            <a:cs typeface="+mn-cs"/>
          </a:endParaRPr>
        </a:p>
      </xdr:txBody>
    </xdr:sp>
    <xdr:clientData/>
  </xdr:twoCellAnchor>
  <xdr:twoCellAnchor>
    <xdr:from>
      <xdr:col>18</xdr:col>
      <xdr:colOff>292896</xdr:colOff>
      <xdr:row>13</xdr:row>
      <xdr:rowOff>78588</xdr:rowOff>
    </xdr:from>
    <xdr:to>
      <xdr:col>18</xdr:col>
      <xdr:colOff>697708</xdr:colOff>
      <xdr:row>14</xdr:row>
      <xdr:rowOff>245274</xdr:rowOff>
    </xdr:to>
    <xdr:sp macro="" textlink="">
      <xdr:nvSpPr>
        <xdr:cNvPr id="37" name="Flecha: a la derecha 36">
          <a:extLst>
            <a:ext uri="{FF2B5EF4-FFF2-40B4-BE49-F238E27FC236}">
              <a16:creationId xmlns:a16="http://schemas.microsoft.com/office/drawing/2014/main" id="{963E6AFC-F10B-46C1-9488-387F3DAD43D1}"/>
            </a:ext>
          </a:extLst>
        </xdr:cNvPr>
        <xdr:cNvSpPr/>
      </xdr:nvSpPr>
      <xdr:spPr>
        <a:xfrm>
          <a:off x="11937209" y="3459963"/>
          <a:ext cx="404812" cy="4405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18</xdr:col>
      <xdr:colOff>219078</xdr:colOff>
      <xdr:row>7</xdr:row>
      <xdr:rowOff>266707</xdr:rowOff>
    </xdr:from>
    <xdr:to>
      <xdr:col>18</xdr:col>
      <xdr:colOff>623890</xdr:colOff>
      <xdr:row>9</xdr:row>
      <xdr:rowOff>159550</xdr:rowOff>
    </xdr:to>
    <xdr:sp macro="" textlink="">
      <xdr:nvSpPr>
        <xdr:cNvPr id="38" name="Flecha: a la derecha 37">
          <a:extLst>
            <a:ext uri="{FF2B5EF4-FFF2-40B4-BE49-F238E27FC236}">
              <a16:creationId xmlns:a16="http://schemas.microsoft.com/office/drawing/2014/main" id="{F5443987-B2C0-487C-96A2-8D34610456A4}"/>
            </a:ext>
          </a:extLst>
        </xdr:cNvPr>
        <xdr:cNvSpPr/>
      </xdr:nvSpPr>
      <xdr:spPr>
        <a:xfrm rot="10800000">
          <a:off x="11863391" y="2005020"/>
          <a:ext cx="404812" cy="4405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8</xdr:col>
      <xdr:colOff>52390</xdr:colOff>
      <xdr:row>7</xdr:row>
      <xdr:rowOff>64299</xdr:rowOff>
    </xdr:from>
    <xdr:to>
      <xdr:col>8</xdr:col>
      <xdr:colOff>457202</xdr:colOff>
      <xdr:row>8</xdr:row>
      <xdr:rowOff>230986</xdr:rowOff>
    </xdr:to>
    <xdr:sp macro="" textlink="">
      <xdr:nvSpPr>
        <xdr:cNvPr id="41" name="Flecha: a la derecha 40">
          <a:extLst>
            <a:ext uri="{FF2B5EF4-FFF2-40B4-BE49-F238E27FC236}">
              <a16:creationId xmlns:a16="http://schemas.microsoft.com/office/drawing/2014/main" id="{DC49992E-FD57-40EE-B24D-7DC32FF31E2C}"/>
            </a:ext>
          </a:extLst>
        </xdr:cNvPr>
        <xdr:cNvSpPr/>
      </xdr:nvSpPr>
      <xdr:spPr>
        <a:xfrm>
          <a:off x="4981578" y="1802612"/>
          <a:ext cx="404812" cy="4405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10</xdr:col>
      <xdr:colOff>600077</xdr:colOff>
      <xdr:row>12</xdr:row>
      <xdr:rowOff>266706</xdr:rowOff>
    </xdr:from>
    <xdr:to>
      <xdr:col>12</xdr:col>
      <xdr:colOff>219077</xdr:colOff>
      <xdr:row>14</xdr:row>
      <xdr:rowOff>159548</xdr:rowOff>
    </xdr:to>
    <xdr:sp macro="" textlink="">
      <xdr:nvSpPr>
        <xdr:cNvPr id="2" name="Flecha: a la derecha 1">
          <a:extLst>
            <a:ext uri="{FF2B5EF4-FFF2-40B4-BE49-F238E27FC236}">
              <a16:creationId xmlns:a16="http://schemas.microsoft.com/office/drawing/2014/main" id="{4EF5EF64-B227-43E2-BD92-AA2B8C2861E8}"/>
            </a:ext>
          </a:extLst>
        </xdr:cNvPr>
        <xdr:cNvSpPr/>
      </xdr:nvSpPr>
      <xdr:spPr>
        <a:xfrm>
          <a:off x="7196140" y="3374237"/>
          <a:ext cx="404812" cy="4405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13</xdr:col>
      <xdr:colOff>210742</xdr:colOff>
      <xdr:row>10</xdr:row>
      <xdr:rowOff>175027</xdr:rowOff>
    </xdr:from>
    <xdr:to>
      <xdr:col>13</xdr:col>
      <xdr:colOff>651272</xdr:colOff>
      <xdr:row>12</xdr:row>
      <xdr:rowOff>32152</xdr:rowOff>
    </xdr:to>
    <xdr:sp macro="" textlink="">
      <xdr:nvSpPr>
        <xdr:cNvPr id="3" name="Flecha: a la derecha 2">
          <a:extLst>
            <a:ext uri="{FF2B5EF4-FFF2-40B4-BE49-F238E27FC236}">
              <a16:creationId xmlns:a16="http://schemas.microsoft.com/office/drawing/2014/main" id="{B1C32AF1-9D43-4870-A12B-48750621835C}"/>
            </a:ext>
          </a:extLst>
        </xdr:cNvPr>
        <xdr:cNvSpPr/>
      </xdr:nvSpPr>
      <xdr:spPr>
        <a:xfrm rot="16200000">
          <a:off x="8443914" y="2717012"/>
          <a:ext cx="404812" cy="4405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18</xdr:col>
      <xdr:colOff>726282</xdr:colOff>
      <xdr:row>6</xdr:row>
      <xdr:rowOff>35719</xdr:rowOff>
    </xdr:from>
    <xdr:to>
      <xdr:col>21</xdr:col>
      <xdr:colOff>199374</xdr:colOff>
      <xdr:row>11</xdr:row>
      <xdr:rowOff>161954</xdr:rowOff>
    </xdr:to>
    <xdr:pic>
      <xdr:nvPicPr>
        <xdr:cNvPr id="5" name="Imagen 4">
          <a:extLst>
            <a:ext uri="{FF2B5EF4-FFF2-40B4-BE49-F238E27FC236}">
              <a16:creationId xmlns:a16="http://schemas.microsoft.com/office/drawing/2014/main" id="{D915D251-24A3-4F4C-BF6B-4FBA307AFBD4}"/>
            </a:ext>
          </a:extLst>
        </xdr:cNvPr>
        <xdr:cNvPicPr>
          <a:picLocks noChangeAspect="1"/>
        </xdr:cNvPicPr>
      </xdr:nvPicPr>
      <xdr:blipFill>
        <a:blip xmlns:r="http://schemas.openxmlformats.org/officeDocument/2006/relationships" r:embed="rId1"/>
        <a:stretch>
          <a:fillRect/>
        </a:stretch>
      </xdr:blipFill>
      <xdr:spPr>
        <a:xfrm>
          <a:off x="12370595" y="1500188"/>
          <a:ext cx="1509061" cy="1495454"/>
        </a:xfrm>
        <a:prstGeom prst="rect">
          <a:avLst/>
        </a:prstGeom>
      </xdr:spPr>
    </xdr:pic>
    <xdr:clientData/>
  </xdr:twoCellAnchor>
  <xdr:twoCellAnchor editAs="oneCell">
    <xdr:from>
      <xdr:col>14</xdr:col>
      <xdr:colOff>678657</xdr:colOff>
      <xdr:row>11</xdr:row>
      <xdr:rowOff>166687</xdr:rowOff>
    </xdr:from>
    <xdr:to>
      <xdr:col>18</xdr:col>
      <xdr:colOff>364824</xdr:colOff>
      <xdr:row>16</xdr:row>
      <xdr:rowOff>146845</xdr:rowOff>
    </xdr:to>
    <xdr:pic>
      <xdr:nvPicPr>
        <xdr:cNvPr id="6" name="Imagen 5">
          <a:extLst>
            <a:ext uri="{FF2B5EF4-FFF2-40B4-BE49-F238E27FC236}">
              <a16:creationId xmlns:a16="http://schemas.microsoft.com/office/drawing/2014/main" id="{533A7C7D-2634-4C68-A807-F33F10215FF6}"/>
            </a:ext>
          </a:extLst>
        </xdr:cNvPr>
        <xdr:cNvPicPr>
          <a:picLocks noChangeAspect="1"/>
        </xdr:cNvPicPr>
      </xdr:nvPicPr>
      <xdr:blipFill>
        <a:blip xmlns:r="http://schemas.openxmlformats.org/officeDocument/2006/relationships" r:embed="rId2"/>
        <a:stretch>
          <a:fillRect/>
        </a:stretch>
      </xdr:blipFill>
      <xdr:spPr>
        <a:xfrm>
          <a:off x="9727407" y="3000375"/>
          <a:ext cx="2281730" cy="1349376"/>
        </a:xfrm>
        <a:prstGeom prst="rect">
          <a:avLst/>
        </a:prstGeom>
      </xdr:spPr>
    </xdr:pic>
    <xdr:clientData/>
  </xdr:twoCellAnchor>
  <xdr:twoCellAnchor editAs="oneCell">
    <xdr:from>
      <xdr:col>17</xdr:col>
      <xdr:colOff>702472</xdr:colOff>
      <xdr:row>0</xdr:row>
      <xdr:rowOff>142875</xdr:rowOff>
    </xdr:from>
    <xdr:to>
      <xdr:col>21</xdr:col>
      <xdr:colOff>430263</xdr:colOff>
      <xdr:row>2</xdr:row>
      <xdr:rowOff>222847</xdr:rowOff>
    </xdr:to>
    <xdr:pic>
      <xdr:nvPicPr>
        <xdr:cNvPr id="7" name="Imagen 6" descr="Texto&#10;&#10;Descripción generada automáticamente">
          <a:extLst>
            <a:ext uri="{FF2B5EF4-FFF2-40B4-BE49-F238E27FC236}">
              <a16:creationId xmlns:a16="http://schemas.microsoft.com/office/drawing/2014/main" id="{D3E54755-B896-4A2F-8C8B-240E247EE4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513347" y="142875"/>
          <a:ext cx="2597198" cy="603847"/>
        </a:xfrm>
        <a:prstGeom prst="rect">
          <a:avLst/>
        </a:prstGeom>
      </xdr:spPr>
    </xdr:pic>
    <xdr:clientData/>
  </xdr:twoCellAnchor>
  <xdr:twoCellAnchor editAs="oneCell">
    <xdr:from>
      <xdr:col>16</xdr:col>
      <xdr:colOff>190503</xdr:colOff>
      <xdr:row>0</xdr:row>
      <xdr:rowOff>92822</xdr:rowOff>
    </xdr:from>
    <xdr:to>
      <xdr:col>17</xdr:col>
      <xdr:colOff>440535</xdr:colOff>
      <xdr:row>3</xdr:row>
      <xdr:rowOff>38088</xdr:rowOff>
    </xdr:to>
    <xdr:pic>
      <xdr:nvPicPr>
        <xdr:cNvPr id="8" name="Imagen 7">
          <a:extLst>
            <a:ext uri="{FF2B5EF4-FFF2-40B4-BE49-F238E27FC236}">
              <a16:creationId xmlns:a16="http://schemas.microsoft.com/office/drawing/2014/main" id="{AB64EEBE-2483-471E-9D6C-61D380D670BC}"/>
            </a:ext>
          </a:extLst>
        </xdr:cNvPr>
        <xdr:cNvPicPr>
          <a:picLocks noChangeAspect="1"/>
        </xdr:cNvPicPr>
      </xdr:nvPicPr>
      <xdr:blipFill rotWithShape="1">
        <a:blip xmlns:r="http://schemas.openxmlformats.org/officeDocument/2006/relationships" r:embed="rId4"/>
        <a:srcRect l="16340" t="25839" r="16340" b="13805"/>
        <a:stretch/>
      </xdr:blipFill>
      <xdr:spPr>
        <a:xfrm>
          <a:off x="10167941" y="92822"/>
          <a:ext cx="1083469" cy="731079"/>
        </a:xfrm>
        <a:prstGeom prst="ellipse">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108856</xdr:colOff>
      <xdr:row>0</xdr:row>
      <xdr:rowOff>95250</xdr:rowOff>
    </xdr:from>
    <xdr:to>
      <xdr:col>2</xdr:col>
      <xdr:colOff>966107</xdr:colOff>
      <xdr:row>3</xdr:row>
      <xdr:rowOff>244928</xdr:rowOff>
    </xdr:to>
    <xdr:pic>
      <xdr:nvPicPr>
        <xdr:cNvPr id="10" name="Imagen 9">
          <a:extLst>
            <a:ext uri="{FF2B5EF4-FFF2-40B4-BE49-F238E27FC236}">
              <a16:creationId xmlns:a16="http://schemas.microsoft.com/office/drawing/2014/main" id="{3AA1E3D0-FDE9-4FD7-A3C8-B710356D215A}"/>
            </a:ext>
          </a:extLst>
        </xdr:cNvPr>
        <xdr:cNvPicPr>
          <a:picLocks noChangeAspect="1"/>
        </xdr:cNvPicPr>
      </xdr:nvPicPr>
      <xdr:blipFill rotWithShape="1">
        <a:blip xmlns:r="http://schemas.openxmlformats.org/officeDocument/2006/relationships" r:embed="rId1"/>
        <a:srcRect l="10308" t="20545" r="9438" b="9015"/>
        <a:stretch/>
      </xdr:blipFill>
      <xdr:spPr>
        <a:xfrm>
          <a:off x="312963" y="95250"/>
          <a:ext cx="1483179" cy="979714"/>
        </a:xfrm>
        <a:prstGeom prst="rect">
          <a:avLst/>
        </a:prstGeom>
      </xdr:spPr>
    </xdr:pic>
    <xdr:clientData/>
  </xdr:twoCellAnchor>
  <xdr:twoCellAnchor>
    <xdr:from>
      <xdr:col>6</xdr:col>
      <xdr:colOff>54427</xdr:colOff>
      <xdr:row>1</xdr:row>
      <xdr:rowOff>40821</xdr:rowOff>
    </xdr:from>
    <xdr:to>
      <xdr:col>8</xdr:col>
      <xdr:colOff>0</xdr:colOff>
      <xdr:row>3</xdr:row>
      <xdr:rowOff>217715</xdr:rowOff>
    </xdr:to>
    <xdr:sp macro="" textlink="$G$3">
      <xdr:nvSpPr>
        <xdr:cNvPr id="2" name="Rectángulo: esquinas redondeadas 1">
          <a:extLst>
            <a:ext uri="{FF2B5EF4-FFF2-40B4-BE49-F238E27FC236}">
              <a16:creationId xmlns:a16="http://schemas.microsoft.com/office/drawing/2014/main" id="{125D5483-F67D-963D-2287-A1138B5C0F66}"/>
            </a:ext>
          </a:extLst>
        </xdr:cNvPr>
        <xdr:cNvSpPr/>
      </xdr:nvSpPr>
      <xdr:spPr>
        <a:xfrm>
          <a:off x="10899320" y="40821"/>
          <a:ext cx="1306287" cy="911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731704-DC71-4849-A23D-6A5FA4B2F1EA}" type="TxLink">
            <a:rPr lang="en-US" sz="1400" b="1" i="0" u="none" strike="noStrike">
              <a:solidFill>
                <a:schemeClr val="bg1"/>
              </a:solidFill>
              <a:latin typeface="Calibri"/>
              <a:ea typeface="Calibri"/>
              <a:cs typeface="Calibri"/>
            </a:rPr>
            <a:pPr algn="ctr"/>
            <a:t>Resultado acumulado  57,6%</a:t>
          </a:fld>
          <a:endParaRPr lang="es-AR" sz="1200" b="1">
            <a:solidFill>
              <a:schemeClr val="bg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857250</xdr:colOff>
      <xdr:row>3</xdr:row>
      <xdr:rowOff>244928</xdr:rowOff>
    </xdr:to>
    <xdr:pic>
      <xdr:nvPicPr>
        <xdr:cNvPr id="3" name="Imagen 2">
          <a:extLst>
            <a:ext uri="{FF2B5EF4-FFF2-40B4-BE49-F238E27FC236}">
              <a16:creationId xmlns:a16="http://schemas.microsoft.com/office/drawing/2014/main" id="{330E6B92-F813-4C19-85A8-77F02F0332C8}"/>
            </a:ext>
          </a:extLst>
        </xdr:cNvPr>
        <xdr:cNvPicPr>
          <a:picLocks noChangeAspect="1"/>
        </xdr:cNvPicPr>
      </xdr:nvPicPr>
      <xdr:blipFill rotWithShape="1">
        <a:blip xmlns:r="http://schemas.openxmlformats.org/officeDocument/2006/relationships" r:embed="rId1"/>
        <a:srcRect l="10308" t="20545" r="9438" b="9015"/>
        <a:stretch/>
      </xdr:blipFill>
      <xdr:spPr>
        <a:xfrm>
          <a:off x="326571" y="204107"/>
          <a:ext cx="1483179" cy="979714"/>
        </a:xfrm>
        <a:prstGeom prst="rect">
          <a:avLst/>
        </a:prstGeom>
      </xdr:spPr>
    </xdr:pic>
    <xdr:clientData/>
  </xdr:twoCellAnchor>
  <xdr:twoCellAnchor>
    <xdr:from>
      <xdr:col>6</xdr:col>
      <xdr:colOff>40822</xdr:colOff>
      <xdr:row>1</xdr:row>
      <xdr:rowOff>40821</xdr:rowOff>
    </xdr:from>
    <xdr:to>
      <xdr:col>7</xdr:col>
      <xdr:colOff>489858</xdr:colOff>
      <xdr:row>3</xdr:row>
      <xdr:rowOff>176893</xdr:rowOff>
    </xdr:to>
    <xdr:sp macro="" textlink="Operacional!G3">
      <xdr:nvSpPr>
        <xdr:cNvPr id="2" name="Rectángulo: esquinas redondeadas 1">
          <a:extLst>
            <a:ext uri="{FF2B5EF4-FFF2-40B4-BE49-F238E27FC236}">
              <a16:creationId xmlns:a16="http://schemas.microsoft.com/office/drawing/2014/main" id="{954680B3-D1DA-44B4-ACCA-0DA9CB94946E}"/>
            </a:ext>
          </a:extLst>
        </xdr:cNvPr>
        <xdr:cNvSpPr/>
      </xdr:nvSpPr>
      <xdr:spPr>
        <a:xfrm>
          <a:off x="10287001" y="244928"/>
          <a:ext cx="1292678" cy="8708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E16297-5340-4A21-85B6-AE9095510BEF}" type="TxLink">
            <a:rPr lang="en-US" sz="1400" b="1" i="0" u="none" strike="noStrike">
              <a:solidFill>
                <a:schemeClr val="bg1"/>
              </a:solidFill>
              <a:latin typeface="Calibri"/>
              <a:ea typeface="Calibri"/>
              <a:cs typeface="Calibri"/>
            </a:rPr>
            <a:pPr algn="ctr"/>
            <a:t>Resultado acumulado  57,6%</a:t>
          </a:fld>
          <a:endParaRPr lang="es-AR" sz="1400" b="1" i="0" u="none" strike="noStrike">
            <a:solidFill>
              <a:schemeClr val="bg1"/>
            </a:solidFill>
            <a:latin typeface="Calibri"/>
            <a:ea typeface="Calibri"/>
            <a:cs typeface="Calibri"/>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40821</xdr:colOff>
      <xdr:row>1</xdr:row>
      <xdr:rowOff>0</xdr:rowOff>
    </xdr:from>
    <xdr:to>
      <xdr:col>2</xdr:col>
      <xdr:colOff>898072</xdr:colOff>
      <xdr:row>3</xdr:row>
      <xdr:rowOff>244928</xdr:rowOff>
    </xdr:to>
    <xdr:pic>
      <xdr:nvPicPr>
        <xdr:cNvPr id="3" name="Imagen 2">
          <a:extLst>
            <a:ext uri="{FF2B5EF4-FFF2-40B4-BE49-F238E27FC236}">
              <a16:creationId xmlns:a16="http://schemas.microsoft.com/office/drawing/2014/main" id="{07E601EC-B0DC-4358-A9A6-DA2CF15621AC}"/>
            </a:ext>
          </a:extLst>
        </xdr:cNvPr>
        <xdr:cNvPicPr>
          <a:picLocks noChangeAspect="1"/>
        </xdr:cNvPicPr>
      </xdr:nvPicPr>
      <xdr:blipFill rotWithShape="1">
        <a:blip xmlns:r="http://schemas.openxmlformats.org/officeDocument/2006/relationships" r:embed="rId1"/>
        <a:srcRect l="10308" t="20545" r="9438" b="9015"/>
        <a:stretch/>
      </xdr:blipFill>
      <xdr:spPr>
        <a:xfrm>
          <a:off x="244928" y="204107"/>
          <a:ext cx="1483179" cy="979714"/>
        </a:xfrm>
        <a:prstGeom prst="rect">
          <a:avLst/>
        </a:prstGeom>
      </xdr:spPr>
    </xdr:pic>
    <xdr:clientData/>
  </xdr:twoCellAnchor>
  <xdr:twoCellAnchor>
    <xdr:from>
      <xdr:col>6</xdr:col>
      <xdr:colOff>13607</xdr:colOff>
      <xdr:row>1</xdr:row>
      <xdr:rowOff>68036</xdr:rowOff>
    </xdr:from>
    <xdr:to>
      <xdr:col>7</xdr:col>
      <xdr:colOff>476250</xdr:colOff>
      <xdr:row>3</xdr:row>
      <xdr:rowOff>244928</xdr:rowOff>
    </xdr:to>
    <xdr:sp macro="" textlink="Operacional!$G$3">
      <xdr:nvSpPr>
        <xdr:cNvPr id="2" name="Rectángulo: esquinas redondeadas 1">
          <a:extLst>
            <a:ext uri="{FF2B5EF4-FFF2-40B4-BE49-F238E27FC236}">
              <a16:creationId xmlns:a16="http://schemas.microsoft.com/office/drawing/2014/main" id="{1050F358-62D4-47EE-9BA2-75EEA663E6FA}"/>
            </a:ext>
          </a:extLst>
        </xdr:cNvPr>
        <xdr:cNvSpPr/>
      </xdr:nvSpPr>
      <xdr:spPr>
        <a:xfrm>
          <a:off x="9974036" y="272143"/>
          <a:ext cx="1306285" cy="9116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9DD475-C499-421A-88F3-FC51314633C0}" type="TxLink">
            <a:rPr lang="en-US" sz="1400" b="1" i="0" u="none" strike="noStrike">
              <a:solidFill>
                <a:schemeClr val="bg1"/>
              </a:solidFill>
              <a:latin typeface="Calibri"/>
              <a:ea typeface="Calibri"/>
              <a:cs typeface="Calibri"/>
            </a:rPr>
            <a:pPr algn="ctr"/>
            <a:t>Resultado acumulado  57,6%</a:t>
          </a:fld>
          <a:endParaRPr lang="es-AR" sz="1400" b="1" i="0" u="none" strike="noStrike">
            <a:solidFill>
              <a:schemeClr val="bg1"/>
            </a:solidFill>
            <a:latin typeface="Calibri"/>
            <a:ea typeface="Calibri"/>
            <a:cs typeface="Calibri"/>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15</xdr:col>
      <xdr:colOff>777561</xdr:colOff>
      <xdr:row>4</xdr:row>
      <xdr:rowOff>218110</xdr:rowOff>
    </xdr:from>
    <xdr:to>
      <xdr:col>17</xdr:col>
      <xdr:colOff>777561</xdr:colOff>
      <xdr:row>7</xdr:row>
      <xdr:rowOff>54823</xdr:rowOff>
    </xdr:to>
    <xdr:sp macro="" textlink="Q6">
      <xdr:nvSpPr>
        <xdr:cNvPr id="3" name="Rectángulo: esquinas redondeadas 2">
          <a:extLst>
            <a:ext uri="{FF2B5EF4-FFF2-40B4-BE49-F238E27FC236}">
              <a16:creationId xmlns:a16="http://schemas.microsoft.com/office/drawing/2014/main" id="{A29B7D50-A2E7-76CC-3DD7-8FC4BF48C804}"/>
            </a:ext>
          </a:extLst>
        </xdr:cNvPr>
        <xdr:cNvSpPr/>
      </xdr:nvSpPr>
      <xdr:spPr>
        <a:xfrm>
          <a:off x="12221365" y="1198219"/>
          <a:ext cx="1684131" cy="789213"/>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5987D6-D0B2-40F5-B943-31DCB8F7E79F}" type="TxLink">
            <a:rPr lang="en-US" sz="1800" b="1" i="0" u="none" strike="noStrike">
              <a:solidFill>
                <a:schemeClr val="bg1"/>
              </a:solidFill>
              <a:latin typeface="Calibri"/>
              <a:ea typeface="Calibri"/>
              <a:cs typeface="Calibri"/>
            </a:rPr>
            <a:pPr algn="ctr"/>
            <a:t>Condición 1: No OK</a:t>
          </a:fld>
          <a:endParaRPr lang="es-AR" sz="1600" b="1" u="none">
            <a:solidFill>
              <a:schemeClr val="bg1"/>
            </a:solidFill>
          </a:endParaRPr>
        </a:p>
      </xdr:txBody>
    </xdr:sp>
    <xdr:clientData/>
  </xdr:twoCellAnchor>
  <xdr:twoCellAnchor>
    <xdr:from>
      <xdr:col>15</xdr:col>
      <xdr:colOff>736148</xdr:colOff>
      <xdr:row>8</xdr:row>
      <xdr:rowOff>234043</xdr:rowOff>
    </xdr:from>
    <xdr:to>
      <xdr:col>17</xdr:col>
      <xdr:colOff>736148</xdr:colOff>
      <xdr:row>11</xdr:row>
      <xdr:rowOff>70757</xdr:rowOff>
    </xdr:to>
    <xdr:sp macro="" textlink="Q10">
      <xdr:nvSpPr>
        <xdr:cNvPr id="4" name="Rectángulo: esquinas redondeadas 3">
          <a:extLst>
            <a:ext uri="{FF2B5EF4-FFF2-40B4-BE49-F238E27FC236}">
              <a16:creationId xmlns:a16="http://schemas.microsoft.com/office/drawing/2014/main" id="{E08697E0-BB54-40D4-ABA6-6A7ED94D8FCE}"/>
            </a:ext>
          </a:extLst>
        </xdr:cNvPr>
        <xdr:cNvSpPr/>
      </xdr:nvSpPr>
      <xdr:spPr>
        <a:xfrm>
          <a:off x="12179952" y="2484152"/>
          <a:ext cx="1684131" cy="789214"/>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171CA09-9558-48EE-81E4-06FE58815293}" type="TxLink">
            <a:rPr lang="en-US" sz="1800" b="1" i="0" u="none" strike="noStrike">
              <a:solidFill>
                <a:schemeClr val="bg1"/>
              </a:solidFill>
              <a:latin typeface="Calibri"/>
              <a:ea typeface="Calibri"/>
              <a:cs typeface="Calibri"/>
            </a:rPr>
            <a:pPr marL="0" indent="0" algn="ctr"/>
            <a:t>Condición 2: OK</a:t>
          </a:fld>
          <a:endParaRPr lang="es-AR" sz="1800" b="1" i="0" u="none" strike="noStrike">
            <a:solidFill>
              <a:schemeClr val="bg1"/>
            </a:solidFill>
            <a:latin typeface="Calibri"/>
            <a:ea typeface="Calibri"/>
            <a:cs typeface="Calibri"/>
          </a:endParaRPr>
        </a:p>
      </xdr:txBody>
    </xdr:sp>
    <xdr:clientData/>
  </xdr:twoCellAnchor>
  <xdr:twoCellAnchor>
    <xdr:from>
      <xdr:col>13</xdr:col>
      <xdr:colOff>755023</xdr:colOff>
      <xdr:row>15</xdr:row>
      <xdr:rowOff>277389</xdr:rowOff>
    </xdr:from>
    <xdr:to>
      <xdr:col>17</xdr:col>
      <xdr:colOff>191684</xdr:colOff>
      <xdr:row>20</xdr:row>
      <xdr:rowOff>96631</xdr:rowOff>
    </xdr:to>
    <xdr:sp macro="" textlink="O18">
      <xdr:nvSpPr>
        <xdr:cNvPr id="5" name="Rectángulo: esquinas redondeadas 4">
          <a:extLst>
            <a:ext uri="{FF2B5EF4-FFF2-40B4-BE49-F238E27FC236}">
              <a16:creationId xmlns:a16="http://schemas.microsoft.com/office/drawing/2014/main" id="{1FA3401F-3D4F-472B-9282-6EF5D024FCC5}"/>
            </a:ext>
          </a:extLst>
        </xdr:cNvPr>
        <xdr:cNvSpPr/>
      </xdr:nvSpPr>
      <xdr:spPr>
        <a:xfrm>
          <a:off x="10514697" y="4749998"/>
          <a:ext cx="2804922" cy="1158263"/>
        </a:xfrm>
        <a:prstGeom prst="roundRect">
          <a:avLst/>
        </a:prstGeom>
        <a:solidFill>
          <a:schemeClr val="bg2">
            <a:lumMod val="25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924EE78-E924-4DED-803A-29ABE1A01A4F}" type="TxLink">
            <a:rPr lang="en-US" sz="2400" b="1" i="0" u="none" strike="noStrike">
              <a:solidFill>
                <a:schemeClr val="bg1"/>
              </a:solidFill>
              <a:latin typeface="Calibri"/>
              <a:ea typeface="Calibri"/>
              <a:cs typeface="Calibri"/>
            </a:rPr>
            <a:pPr marL="0" indent="0" algn="ctr"/>
            <a:t>CAE 1 ESTADIO</a:t>
          </a:fld>
          <a:endParaRPr lang="es-AR" sz="3600" b="1" i="0" u="none" strike="noStrike">
            <a:solidFill>
              <a:schemeClr val="bg1"/>
            </a:solidFill>
            <a:latin typeface="Calibri"/>
            <a:ea typeface="Calibri"/>
            <a:cs typeface="Calibri"/>
          </a:endParaRPr>
        </a:p>
      </xdr:txBody>
    </xdr:sp>
    <xdr:clientData/>
  </xdr:twoCellAnchor>
  <xdr:twoCellAnchor>
    <xdr:from>
      <xdr:col>15</xdr:col>
      <xdr:colOff>736148</xdr:colOff>
      <xdr:row>12</xdr:row>
      <xdr:rowOff>291193</xdr:rowOff>
    </xdr:from>
    <xdr:to>
      <xdr:col>17</xdr:col>
      <xdr:colOff>736148</xdr:colOff>
      <xdr:row>15</xdr:row>
      <xdr:rowOff>127907</xdr:rowOff>
    </xdr:to>
    <xdr:sp macro="" textlink="Q14">
      <xdr:nvSpPr>
        <xdr:cNvPr id="2" name="Rectángulo: esquinas redondeadas 1">
          <a:extLst>
            <a:ext uri="{FF2B5EF4-FFF2-40B4-BE49-F238E27FC236}">
              <a16:creationId xmlns:a16="http://schemas.microsoft.com/office/drawing/2014/main" id="{97A3B3F2-C401-4D47-858C-4F61270301A8}"/>
            </a:ext>
          </a:extLst>
        </xdr:cNvPr>
        <xdr:cNvSpPr/>
      </xdr:nvSpPr>
      <xdr:spPr>
        <a:xfrm>
          <a:off x="12179952" y="3811302"/>
          <a:ext cx="1684131" cy="789214"/>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8F1D038-D95D-4798-9E91-9C12CE3D03C6}" type="TxLink">
            <a:rPr lang="en-US" sz="1800" b="1" i="0" u="none" strike="noStrike">
              <a:solidFill>
                <a:schemeClr val="bg1"/>
              </a:solidFill>
              <a:latin typeface="Calibri"/>
              <a:ea typeface="Calibri"/>
              <a:cs typeface="Calibri"/>
            </a:rPr>
            <a:pPr marL="0" indent="0" algn="ctr"/>
            <a:t>Condición 3: No Aplica</a:t>
          </a:fld>
          <a:endParaRPr lang="es-AR" sz="1800" b="1" i="0" u="none" strike="noStrike">
            <a:solidFill>
              <a:schemeClr val="bg1"/>
            </a:solidFill>
            <a:latin typeface="Calibri"/>
            <a:ea typeface="Calibri"/>
            <a:cs typeface="Calibri"/>
          </a:endParaRP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81643</xdr:colOff>
      <xdr:row>0</xdr:row>
      <xdr:rowOff>122464</xdr:rowOff>
    </xdr:from>
    <xdr:to>
      <xdr:col>11</xdr:col>
      <xdr:colOff>747061</xdr:colOff>
      <xdr:row>7</xdr:row>
      <xdr:rowOff>12275</xdr:rowOff>
    </xdr:to>
    <xdr:pic>
      <xdr:nvPicPr>
        <xdr:cNvPr id="4" name="Imagen 3">
          <a:extLst>
            <a:ext uri="{FF2B5EF4-FFF2-40B4-BE49-F238E27FC236}">
              <a16:creationId xmlns:a16="http://schemas.microsoft.com/office/drawing/2014/main" id="{AF00BF06-8A1B-444B-AE21-CB07863126E9}"/>
            </a:ext>
          </a:extLst>
        </xdr:cNvPr>
        <xdr:cNvPicPr>
          <a:picLocks noChangeAspect="1"/>
        </xdr:cNvPicPr>
      </xdr:nvPicPr>
      <xdr:blipFill>
        <a:blip xmlns:r="http://schemas.openxmlformats.org/officeDocument/2006/relationships" r:embed="rId1"/>
        <a:stretch>
          <a:fillRect/>
        </a:stretch>
      </xdr:blipFill>
      <xdr:spPr>
        <a:xfrm>
          <a:off x="9906000" y="122464"/>
          <a:ext cx="1509061" cy="1495454"/>
        </a:xfrm>
        <a:prstGeom prst="rect">
          <a:avLst/>
        </a:prstGeom>
      </xdr:spPr>
    </xdr:pic>
    <xdr:clientData/>
  </xdr:twoCellAnchor>
  <xdr:twoCellAnchor>
    <xdr:from>
      <xdr:col>10</xdr:col>
      <xdr:colOff>88445</xdr:colOff>
      <xdr:row>7</xdr:row>
      <xdr:rowOff>179614</xdr:rowOff>
    </xdr:from>
    <xdr:to>
      <xdr:col>16</xdr:col>
      <xdr:colOff>624588</xdr:colOff>
      <xdr:row>22</xdr:row>
      <xdr:rowOff>149678</xdr:rowOff>
    </xdr:to>
    <mc:AlternateContent xmlns:mc="http://schemas.openxmlformats.org/markup-compatibility/2006">
      <mc:Choice xmlns:cx2="http://schemas.microsoft.com/office/drawing/2015/10/21/chartex" Requires="cx2">
        <xdr:graphicFrame macro="">
          <xdr:nvGraphicFramePr>
            <xdr:cNvPr id="8" name="Gráfico 7">
              <a:extLst>
                <a:ext uri="{FF2B5EF4-FFF2-40B4-BE49-F238E27FC236}">
                  <a16:creationId xmlns:a16="http://schemas.microsoft.com/office/drawing/2014/main" id="{F6B1D108-83A3-F64B-996F-F7918AB5C2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508670" y="1760764"/>
              <a:ext cx="5565343" cy="3056164"/>
            </a:xfrm>
            <a:prstGeom prst="rect">
              <a:avLst/>
            </a:prstGeom>
            <a:solidFill>
              <a:prstClr val="white"/>
            </a:solidFill>
            <a:ln w="1">
              <a:solidFill>
                <a:prstClr val="green"/>
              </a:solidFill>
            </a:ln>
          </xdr:spPr>
          <xdr:txBody>
            <a:bodyPr vertOverflow="clip" horzOverflow="clip"/>
            <a:lstStyle/>
            <a:p>
              <a:r>
                <a:rPr lang="es-AR"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34018</xdr:colOff>
      <xdr:row>8</xdr:row>
      <xdr:rowOff>97970</xdr:rowOff>
    </xdr:from>
    <xdr:to>
      <xdr:col>16</xdr:col>
      <xdr:colOff>571499</xdr:colOff>
      <xdr:row>24</xdr:row>
      <xdr:rowOff>136071</xdr:rowOff>
    </xdr:to>
    <mc:AlternateContent xmlns:mc="http://schemas.openxmlformats.org/markup-compatibility/2006">
      <mc:Choice xmlns:cx2="http://schemas.microsoft.com/office/drawing/2015/10/21/chartex" Requires="cx2">
        <xdr:graphicFrame macro="">
          <xdr:nvGraphicFramePr>
            <xdr:cNvPr id="5" name="Gráfico 4">
              <a:extLst>
                <a:ext uri="{FF2B5EF4-FFF2-40B4-BE49-F238E27FC236}">
                  <a16:creationId xmlns:a16="http://schemas.microsoft.com/office/drawing/2014/main" id="{39B3455D-4B86-58A5-B634-E6184B0B52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78068" y="1879145"/>
              <a:ext cx="5566681" cy="3238501"/>
            </a:xfrm>
            <a:prstGeom prst="rect">
              <a:avLst/>
            </a:prstGeom>
            <a:solidFill>
              <a:prstClr val="white"/>
            </a:solidFill>
            <a:ln w="1">
              <a:solidFill>
                <a:prstClr val="green"/>
              </a:solidFill>
            </a:ln>
          </xdr:spPr>
          <xdr:txBody>
            <a:bodyPr vertOverflow="clip" horzOverflow="clip"/>
            <a:lstStyle/>
            <a:p>
              <a:r>
                <a:rPr lang="es-AR"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9</xdr:col>
      <xdr:colOff>231321</xdr:colOff>
      <xdr:row>1</xdr:row>
      <xdr:rowOff>54430</xdr:rowOff>
    </xdr:from>
    <xdr:to>
      <xdr:col>12</xdr:col>
      <xdr:colOff>431158</xdr:colOff>
      <xdr:row>6</xdr:row>
      <xdr:rowOff>138341</xdr:rowOff>
    </xdr:to>
    <xdr:pic>
      <xdr:nvPicPr>
        <xdr:cNvPr id="6" name="Imagen 5">
          <a:extLst>
            <a:ext uri="{FF2B5EF4-FFF2-40B4-BE49-F238E27FC236}">
              <a16:creationId xmlns:a16="http://schemas.microsoft.com/office/drawing/2014/main" id="{50CC7F9C-AA80-4F2B-BF99-DF8F80240495}"/>
            </a:ext>
          </a:extLst>
        </xdr:cNvPr>
        <xdr:cNvPicPr>
          <a:picLocks noChangeAspect="1"/>
        </xdr:cNvPicPr>
      </xdr:nvPicPr>
      <xdr:blipFill>
        <a:blip xmlns:r="http://schemas.openxmlformats.org/officeDocument/2006/relationships" r:embed="rId2"/>
        <a:stretch>
          <a:fillRect/>
        </a:stretch>
      </xdr:blipFill>
      <xdr:spPr>
        <a:xfrm>
          <a:off x="9661071" y="190501"/>
          <a:ext cx="2281730" cy="13493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AP/ARCOR/CHILE/Modelo_Relevamiento_Los_Mostros_2022-PP.xlsx" TargetMode="External"/><Relationship Id="rId2" Type="http://schemas.openxmlformats.org/officeDocument/2006/relationships/externalLinkPath" Target="file:///C:\Users\Lenovo\Desktop\BAP\ARCOR\CHILE\Modelo_Relevamiento_Los_Mostros_2022-PP.xlsx" TargetMode="External"/><Relationship Id="rId1" Type="http://schemas.openxmlformats.org/officeDocument/2006/relationships/externalLinkPath" Target="/Users/Lenovo/Desktop/BAP/ARCOR/CHILE/Modelo_Relevamiento_Los_Mostros_2022-PP.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BAP/ARCOR/CHILE/AUTOEVALUACIONES%202025/AE25%20-%20RED%20ACTIVA%202.0_COM.%20ALDO%20PATRICIO%20BALKENHOL%20FLORES%20EIRL.xlsx" TargetMode="External"/><Relationship Id="rId2" Type="http://schemas.openxmlformats.org/officeDocument/2006/relationships/externalLinkPath" Target="file:///C:\Users\Lenovo\Desktop\BAP\ARCOR\CHILE\AUTOEVALUACIONES%202025\AE25%20-%20RED%20ACTIVA%202.0_COM.%20ALDO%20PATRICIO%20BALKENHOL%20FLORES%20EIRL.xlsx" TargetMode="External"/><Relationship Id="rId1" Type="http://schemas.openxmlformats.org/officeDocument/2006/relationships/externalLinkPath" Target="/Users/Lenovo/Desktop/BAP/ARCOR/CHILE/AUTOEVALUACIONES%202025/AE25%20-%20RED%20ACTIVA%202.0_COM.%20ALDO%20PATRICIO%20BALKENHOL%20FLORES%20EIRL.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BAP/ARCOR/CHILE/GANTT%202025%20-%20Chile.xlsx" TargetMode="External"/><Relationship Id="rId2" Type="http://schemas.openxmlformats.org/officeDocument/2006/relationships/externalLinkPath" Target="file:///C:\Users\Lenovo\Desktop\BAP\ARCOR\CHILE\GANTT%202025%20-%20Chile.xlsx" TargetMode="External"/><Relationship Id="rId1" Type="http://schemas.openxmlformats.org/officeDocument/2006/relationships/externalLinkPath" Target="/Users/Lenovo/Desktop/BAP/ARCOR/CHILE/GANTT%202025%20-%20Ch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TRIZ PARA INFORME (2)"/>
      <sheetName val="MATRIZ PARA INFORME"/>
      <sheetName val="GESTION"/>
      <sheetName val="INFRAESTRUCTURA (2)"/>
      <sheetName val="INTEGRIDAD DEL PRODUCTO"/>
      <sheetName val="PROCESOS"/>
      <sheetName val="PROCESOS (2)"/>
      <sheetName val="INFRAESTRUCTURA"/>
      <sheetName val="GESTION (2)"/>
      <sheetName val="INTEGRIDAD DEL PRODUCTO (2)"/>
      <sheetName val="MATRIZ"/>
      <sheetName val="Condicionantes"/>
      <sheetName val="SECUENCIA"/>
      <sheetName val="Indicador CALIDAD"/>
      <sheetName val="Datos Anexos"/>
      <sheetName val="Hoja5"/>
      <sheetName val="Matriz (2)"/>
      <sheetName val="Hoja5 HE"/>
      <sheetName val="Matriz Helados"/>
      <sheetName val="Capacidad Helados"/>
      <sheetName val="Indice de Ocupación"/>
      <sheetName val="FILTROS (2)"/>
      <sheetName val="FILTROS"/>
      <sheetName val="F_D (2)"/>
      <sheetName val="F_D"/>
      <sheetName val="Oportunidad de Mejora"/>
      <sheetName val="Plan de accion"/>
      <sheetName val="Oportunidad de Mejora (2)"/>
      <sheetName val="BaseCriticidad"/>
      <sheetName val="base datos"/>
    </sheetNames>
    <sheetDataSet>
      <sheetData sheetId="0"/>
      <sheetData sheetId="1"/>
      <sheetData sheetId="2"/>
      <sheetData sheetId="3"/>
      <sheetData sheetId="4"/>
      <sheetData sheetId="5"/>
      <sheetData sheetId="6"/>
      <sheetData sheetId="7"/>
      <sheetData sheetId="8"/>
      <sheetData sheetId="9"/>
      <sheetData sheetId="10">
        <row r="8">
          <cell r="D8">
            <v>0.15</v>
          </cell>
          <cell r="G8">
            <v>0.22500000000000001</v>
          </cell>
        </row>
        <row r="9">
          <cell r="G9">
            <v>0.4</v>
          </cell>
        </row>
        <row r="10">
          <cell r="G10">
            <v>0.27500000000000002</v>
          </cell>
        </row>
        <row r="11">
          <cell r="G11">
            <v>2.5000000000000001E-2</v>
          </cell>
        </row>
        <row r="12">
          <cell r="G12">
            <v>7.4999999999999997E-2</v>
          </cell>
        </row>
        <row r="13">
          <cell r="G13">
            <v>0.2</v>
          </cell>
        </row>
        <row r="14">
          <cell r="G14">
            <v>0.1</v>
          </cell>
        </row>
        <row r="15">
          <cell r="G15">
            <v>0.25</v>
          </cell>
        </row>
        <row r="16">
          <cell r="G16">
            <v>0.25</v>
          </cell>
        </row>
        <row r="17">
          <cell r="G17">
            <v>0.1</v>
          </cell>
        </row>
        <row r="18">
          <cell r="G18">
            <v>0.1</v>
          </cell>
        </row>
        <row r="19">
          <cell r="G19">
            <v>0.25</v>
          </cell>
        </row>
        <row r="20">
          <cell r="G20">
            <v>0.25</v>
          </cell>
        </row>
        <row r="21">
          <cell r="G21">
            <v>0.1</v>
          </cell>
        </row>
        <row r="22">
          <cell r="G22">
            <v>0.1</v>
          </cell>
        </row>
        <row r="23">
          <cell r="G23">
            <v>0.3</v>
          </cell>
        </row>
        <row r="24">
          <cell r="G24">
            <v>0.15</v>
          </cell>
        </row>
        <row r="25">
          <cell r="G25">
            <v>0.25</v>
          </cell>
        </row>
        <row r="26">
          <cell r="G26">
            <v>0.25</v>
          </cell>
        </row>
        <row r="27">
          <cell r="G27">
            <v>0.15</v>
          </cell>
        </row>
        <row r="28">
          <cell r="G28">
            <v>0.1</v>
          </cell>
        </row>
        <row r="29">
          <cell r="G29">
            <v>0.1</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sumen  - Se oculta 2,0"/>
      <sheetName val="Inicio"/>
      <sheetName val="Dashboard Gral (2.0)"/>
      <sheetName val="Condicionales 2.0"/>
      <sheetName val="IFT"/>
      <sheetName val="PLG"/>
      <sheetName val="GST"/>
      <sheetName val="IDP"/>
      <sheetName val="Guia de Evidencias 2,0"/>
      <sheetName val="Plan de Acción"/>
    </sheetNames>
    <sheetDataSet>
      <sheetData sheetId="0"/>
      <sheetData sheetId="1"/>
      <sheetData sheetId="2"/>
      <sheetData sheetId="3"/>
      <sheetData sheetId="4">
        <row r="9">
          <cell r="F9">
            <v>1</v>
          </cell>
        </row>
        <row r="10">
          <cell r="F10">
            <v>1</v>
          </cell>
        </row>
        <row r="11">
          <cell r="F11">
            <v>1</v>
          </cell>
        </row>
        <row r="12">
          <cell r="F12">
            <v>1</v>
          </cell>
        </row>
        <row r="13">
          <cell r="F13">
            <v>1</v>
          </cell>
        </row>
        <row r="14">
          <cell r="F14">
            <v>1</v>
          </cell>
        </row>
        <row r="15">
          <cell r="F15">
            <v>1</v>
          </cell>
        </row>
        <row r="16">
          <cell r="F16">
            <v>1</v>
          </cell>
        </row>
        <row r="17">
          <cell r="F17">
            <v>1</v>
          </cell>
        </row>
        <row r="20">
          <cell r="F20">
            <v>1</v>
          </cell>
        </row>
        <row r="21">
          <cell r="F21">
            <v>1</v>
          </cell>
        </row>
        <row r="22">
          <cell r="F22">
            <v>1</v>
          </cell>
        </row>
        <row r="23">
          <cell r="F23">
            <v>1</v>
          </cell>
        </row>
        <row r="24">
          <cell r="F24">
            <v>1</v>
          </cell>
        </row>
        <row r="25">
          <cell r="F25">
            <v>0</v>
          </cell>
        </row>
        <row r="26">
          <cell r="F26">
            <v>1</v>
          </cell>
        </row>
        <row r="27">
          <cell r="F27">
            <v>1</v>
          </cell>
        </row>
        <row r="28">
          <cell r="F28">
            <v>1</v>
          </cell>
        </row>
        <row r="29">
          <cell r="F29">
            <v>1</v>
          </cell>
        </row>
        <row r="30">
          <cell r="F30">
            <v>1</v>
          </cell>
        </row>
        <row r="31">
          <cell r="F31">
            <v>1</v>
          </cell>
        </row>
        <row r="32">
          <cell r="F32">
            <v>1</v>
          </cell>
        </row>
        <row r="33">
          <cell r="F33">
            <v>1</v>
          </cell>
        </row>
        <row r="34">
          <cell r="F34">
            <v>1</v>
          </cell>
        </row>
        <row r="35">
          <cell r="F35">
            <v>1</v>
          </cell>
        </row>
        <row r="36">
          <cell r="F36">
            <v>1</v>
          </cell>
        </row>
        <row r="37">
          <cell r="F37">
            <v>1</v>
          </cell>
        </row>
        <row r="38">
          <cell r="F38">
            <v>1</v>
          </cell>
        </row>
        <row r="41">
          <cell r="F41">
            <v>1</v>
          </cell>
        </row>
        <row r="42">
          <cell r="F42">
            <v>1</v>
          </cell>
        </row>
        <row r="43">
          <cell r="F43">
            <v>1</v>
          </cell>
        </row>
        <row r="44">
          <cell r="F44">
            <v>1</v>
          </cell>
        </row>
        <row r="45">
          <cell r="F45">
            <v>1</v>
          </cell>
        </row>
        <row r="46">
          <cell r="F46">
            <v>1</v>
          </cell>
        </row>
        <row r="47">
          <cell r="F47" t="str">
            <v>N/A</v>
          </cell>
        </row>
        <row r="48">
          <cell r="F48" t="str">
            <v>N/A</v>
          </cell>
        </row>
        <row r="49">
          <cell r="F49" t="str">
            <v>N/A</v>
          </cell>
        </row>
        <row r="50">
          <cell r="F50" t="str">
            <v>N/A</v>
          </cell>
        </row>
        <row r="51">
          <cell r="F51" t="str">
            <v>N/A</v>
          </cell>
        </row>
        <row r="52">
          <cell r="F52" t="str">
            <v>N/A</v>
          </cell>
        </row>
        <row r="53">
          <cell r="F53">
            <v>1</v>
          </cell>
        </row>
        <row r="54">
          <cell r="F54">
            <v>1</v>
          </cell>
        </row>
        <row r="55">
          <cell r="F55">
            <v>1</v>
          </cell>
        </row>
        <row r="56">
          <cell r="F56">
            <v>1</v>
          </cell>
        </row>
        <row r="59">
          <cell r="F59">
            <v>1</v>
          </cell>
        </row>
        <row r="62">
          <cell r="F62">
            <v>1</v>
          </cell>
        </row>
        <row r="63">
          <cell r="F63">
            <v>1</v>
          </cell>
        </row>
        <row r="64">
          <cell r="F64">
            <v>1</v>
          </cell>
        </row>
        <row r="65">
          <cell r="F65">
            <v>1</v>
          </cell>
        </row>
        <row r="66">
          <cell r="F66">
            <v>1</v>
          </cell>
        </row>
      </sheetData>
      <sheetData sheetId="5">
        <row r="9">
          <cell r="F9">
            <v>1</v>
          </cell>
        </row>
        <row r="10">
          <cell r="F10">
            <v>1</v>
          </cell>
        </row>
        <row r="11">
          <cell r="F11">
            <v>1</v>
          </cell>
        </row>
        <row r="12">
          <cell r="F12">
            <v>1</v>
          </cell>
        </row>
        <row r="13">
          <cell r="F13">
            <v>1</v>
          </cell>
        </row>
        <row r="14">
          <cell r="F14">
            <v>1</v>
          </cell>
        </row>
        <row r="15">
          <cell r="F15">
            <v>1</v>
          </cell>
        </row>
        <row r="16">
          <cell r="F16">
            <v>1</v>
          </cell>
        </row>
        <row r="19">
          <cell r="F19">
            <v>1</v>
          </cell>
        </row>
        <row r="20">
          <cell r="F20">
            <v>1</v>
          </cell>
        </row>
        <row r="21">
          <cell r="F21">
            <v>1</v>
          </cell>
        </row>
        <row r="22">
          <cell r="F22">
            <v>1</v>
          </cell>
        </row>
        <row r="23">
          <cell r="F23">
            <v>1</v>
          </cell>
        </row>
        <row r="24">
          <cell r="F24">
            <v>1</v>
          </cell>
        </row>
        <row r="25">
          <cell r="F25">
            <v>1</v>
          </cell>
        </row>
        <row r="26">
          <cell r="F26">
            <v>1</v>
          </cell>
        </row>
        <row r="29">
          <cell r="F29">
            <v>1</v>
          </cell>
        </row>
        <row r="30">
          <cell r="F30">
            <v>1</v>
          </cell>
        </row>
        <row r="31">
          <cell r="F31">
            <v>1</v>
          </cell>
        </row>
        <row r="32">
          <cell r="F32">
            <v>1</v>
          </cell>
        </row>
        <row r="33">
          <cell r="F33">
            <v>1</v>
          </cell>
        </row>
        <row r="34">
          <cell r="F34">
            <v>1</v>
          </cell>
        </row>
        <row r="37">
          <cell r="F37">
            <v>1</v>
          </cell>
        </row>
        <row r="38">
          <cell r="F38">
            <v>1</v>
          </cell>
        </row>
        <row r="39">
          <cell r="F39">
            <v>1</v>
          </cell>
        </row>
        <row r="40">
          <cell r="F40">
            <v>1</v>
          </cell>
        </row>
        <row r="41">
          <cell r="F41">
            <v>0</v>
          </cell>
        </row>
        <row r="42">
          <cell r="F42">
            <v>1</v>
          </cell>
        </row>
        <row r="43">
          <cell r="F43">
            <v>1</v>
          </cell>
        </row>
        <row r="44">
          <cell r="F44">
            <v>1</v>
          </cell>
        </row>
        <row r="45">
          <cell r="F45">
            <v>1</v>
          </cell>
        </row>
        <row r="46">
          <cell r="F46">
            <v>1</v>
          </cell>
        </row>
        <row r="49">
          <cell r="F49">
            <v>1</v>
          </cell>
        </row>
        <row r="50">
          <cell r="F50">
            <v>1</v>
          </cell>
        </row>
        <row r="51">
          <cell r="F51">
            <v>1</v>
          </cell>
        </row>
        <row r="52">
          <cell r="F52">
            <v>1</v>
          </cell>
        </row>
        <row r="53">
          <cell r="F53">
            <v>0</v>
          </cell>
        </row>
        <row r="54">
          <cell r="F54">
            <v>1</v>
          </cell>
        </row>
        <row r="57">
          <cell r="F57">
            <v>1</v>
          </cell>
        </row>
        <row r="58">
          <cell r="F58">
            <v>1</v>
          </cell>
        </row>
        <row r="59">
          <cell r="F59">
            <v>1</v>
          </cell>
        </row>
        <row r="60">
          <cell r="F60">
            <v>1</v>
          </cell>
        </row>
      </sheetData>
      <sheetData sheetId="6">
        <row r="9">
          <cell r="F9" t="str">
            <v>N/A</v>
          </cell>
        </row>
        <row r="10">
          <cell r="F10" t="str">
            <v>N/A</v>
          </cell>
        </row>
        <row r="11">
          <cell r="F11" t="str">
            <v>N/A</v>
          </cell>
        </row>
        <row r="12">
          <cell r="F12" t="str">
            <v>N/A</v>
          </cell>
        </row>
        <row r="13">
          <cell r="F13" t="str">
            <v>N/A</v>
          </cell>
        </row>
        <row r="14">
          <cell r="F14" t="str">
            <v>N/A</v>
          </cell>
        </row>
        <row r="15">
          <cell r="F15" t="str">
            <v>N/A</v>
          </cell>
        </row>
        <row r="18">
          <cell r="F18">
            <v>1</v>
          </cell>
        </row>
        <row r="19">
          <cell r="F19">
            <v>1</v>
          </cell>
        </row>
        <row r="20">
          <cell r="F20">
            <v>1</v>
          </cell>
        </row>
        <row r="21">
          <cell r="F21">
            <v>1</v>
          </cell>
        </row>
        <row r="22">
          <cell r="F22">
            <v>1</v>
          </cell>
        </row>
        <row r="23">
          <cell r="F23">
            <v>1</v>
          </cell>
        </row>
        <row r="24">
          <cell r="F24">
            <v>1</v>
          </cell>
        </row>
        <row r="25">
          <cell r="F25">
            <v>1</v>
          </cell>
        </row>
        <row r="26">
          <cell r="F26">
            <v>1</v>
          </cell>
        </row>
        <row r="27">
          <cell r="F27">
            <v>1</v>
          </cell>
        </row>
        <row r="28">
          <cell r="F28">
            <v>1</v>
          </cell>
        </row>
        <row r="29">
          <cell r="F29">
            <v>1</v>
          </cell>
        </row>
        <row r="32">
          <cell r="F32">
            <v>1</v>
          </cell>
        </row>
        <row r="33">
          <cell r="F33">
            <v>1</v>
          </cell>
        </row>
        <row r="34">
          <cell r="F34">
            <v>1</v>
          </cell>
        </row>
        <row r="35">
          <cell r="F35">
            <v>1</v>
          </cell>
        </row>
        <row r="36">
          <cell r="F36">
            <v>1</v>
          </cell>
        </row>
        <row r="37">
          <cell r="F37">
            <v>1</v>
          </cell>
        </row>
        <row r="38">
          <cell r="F38" t="str">
            <v>N/A</v>
          </cell>
        </row>
        <row r="39">
          <cell r="F39">
            <v>1</v>
          </cell>
        </row>
        <row r="40">
          <cell r="F40">
            <v>1</v>
          </cell>
        </row>
        <row r="43">
          <cell r="F43">
            <v>1</v>
          </cell>
        </row>
        <row r="44">
          <cell r="F44">
            <v>1</v>
          </cell>
        </row>
        <row r="45">
          <cell r="F45">
            <v>1</v>
          </cell>
        </row>
        <row r="46">
          <cell r="F46">
            <v>1</v>
          </cell>
        </row>
        <row r="49">
          <cell r="F49">
            <v>0</v>
          </cell>
        </row>
        <row r="50">
          <cell r="F50">
            <v>1</v>
          </cell>
        </row>
        <row r="53">
          <cell r="F53">
            <v>1</v>
          </cell>
        </row>
        <row r="54">
          <cell r="F54">
            <v>1</v>
          </cell>
        </row>
        <row r="55">
          <cell r="F55">
            <v>1</v>
          </cell>
        </row>
        <row r="56">
          <cell r="F56">
            <v>1</v>
          </cell>
        </row>
        <row r="57">
          <cell r="F57">
            <v>1</v>
          </cell>
        </row>
        <row r="58">
          <cell r="F58">
            <v>1</v>
          </cell>
        </row>
        <row r="59">
          <cell r="F59">
            <v>1</v>
          </cell>
        </row>
        <row r="60">
          <cell r="F60">
            <v>1</v>
          </cell>
        </row>
        <row r="61">
          <cell r="F61">
            <v>1</v>
          </cell>
        </row>
        <row r="62">
          <cell r="F62">
            <v>1</v>
          </cell>
        </row>
        <row r="63">
          <cell r="F63">
            <v>1</v>
          </cell>
        </row>
      </sheetData>
      <sheetData sheetId="7">
        <row r="9">
          <cell r="F9">
            <v>1</v>
          </cell>
        </row>
        <row r="10">
          <cell r="F10">
            <v>1</v>
          </cell>
        </row>
        <row r="11">
          <cell r="F11" t="str">
            <v>N/A</v>
          </cell>
        </row>
        <row r="12">
          <cell r="F12" t="str">
            <v>N/A</v>
          </cell>
        </row>
        <row r="15">
          <cell r="F15">
            <v>1</v>
          </cell>
        </row>
        <row r="16">
          <cell r="F16">
            <v>1</v>
          </cell>
        </row>
        <row r="17">
          <cell r="F17" t="str">
            <v>N/A</v>
          </cell>
        </row>
        <row r="18">
          <cell r="F18">
            <v>1</v>
          </cell>
        </row>
        <row r="19">
          <cell r="F19">
            <v>1</v>
          </cell>
        </row>
        <row r="20">
          <cell r="F20">
            <v>1</v>
          </cell>
        </row>
        <row r="22">
          <cell r="F22">
            <v>1</v>
          </cell>
        </row>
        <row r="23">
          <cell r="F23">
            <v>1</v>
          </cell>
        </row>
        <row r="24">
          <cell r="F24">
            <v>1</v>
          </cell>
        </row>
        <row r="25">
          <cell r="F25" t="str">
            <v>N/A</v>
          </cell>
        </row>
        <row r="26">
          <cell r="F26">
            <v>0</v>
          </cell>
        </row>
        <row r="27">
          <cell r="F27">
            <v>0</v>
          </cell>
        </row>
        <row r="28">
          <cell r="F28">
            <v>1</v>
          </cell>
        </row>
        <row r="29">
          <cell r="F29">
            <v>1</v>
          </cell>
        </row>
        <row r="30">
          <cell r="F30">
            <v>0</v>
          </cell>
        </row>
        <row r="31">
          <cell r="F31">
            <v>1</v>
          </cell>
        </row>
        <row r="34">
          <cell r="F34">
            <v>1</v>
          </cell>
        </row>
        <row r="35">
          <cell r="F35">
            <v>1</v>
          </cell>
        </row>
        <row r="36">
          <cell r="F36" t="str">
            <v>N/A</v>
          </cell>
        </row>
        <row r="37">
          <cell r="F37">
            <v>1</v>
          </cell>
        </row>
        <row r="38">
          <cell r="F38">
            <v>1</v>
          </cell>
        </row>
        <row r="39">
          <cell r="F39">
            <v>1</v>
          </cell>
        </row>
        <row r="40">
          <cell r="F40" t="str">
            <v>N/A</v>
          </cell>
        </row>
        <row r="43">
          <cell r="F43">
            <v>1</v>
          </cell>
        </row>
        <row r="44">
          <cell r="F44">
            <v>1</v>
          </cell>
        </row>
        <row r="45">
          <cell r="F45">
            <v>1</v>
          </cell>
        </row>
        <row r="46">
          <cell r="F46">
            <v>1</v>
          </cell>
        </row>
        <row r="47">
          <cell r="F47">
            <v>1</v>
          </cell>
        </row>
        <row r="50">
          <cell r="F50" t="str">
            <v>N/A</v>
          </cell>
        </row>
        <row r="51">
          <cell r="F51">
            <v>1</v>
          </cell>
        </row>
        <row r="52">
          <cell r="F52">
            <v>1</v>
          </cell>
        </row>
        <row r="53">
          <cell r="F53">
            <v>1</v>
          </cell>
        </row>
        <row r="54">
          <cell r="F54">
            <v>1</v>
          </cell>
        </row>
        <row r="55">
          <cell r="F55">
            <v>1</v>
          </cell>
        </row>
        <row r="56">
          <cell r="F56">
            <v>1</v>
          </cell>
        </row>
        <row r="59">
          <cell r="F59">
            <v>1</v>
          </cell>
        </row>
        <row r="60">
          <cell r="F60">
            <v>1</v>
          </cell>
        </row>
        <row r="61">
          <cell r="F61">
            <v>1</v>
          </cell>
        </row>
        <row r="62">
          <cell r="F62">
            <v>1</v>
          </cell>
        </row>
        <row r="63">
          <cell r="F63">
            <v>1</v>
          </cell>
        </row>
        <row r="64">
          <cell r="F64">
            <v>1</v>
          </cell>
        </row>
        <row r="65">
          <cell r="F65">
            <v>1</v>
          </cell>
        </row>
        <row r="66">
          <cell r="F66">
            <v>1</v>
          </cell>
        </row>
      </sheetData>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antt"/>
      <sheetName val="Asistencia comerciales"/>
      <sheetName val="Detalles"/>
      <sheetName val="Resumen"/>
    </sheetNames>
    <sheetDataSet>
      <sheetData sheetId="0">
        <row r="3">
          <cell r="E3" t="str">
            <v>COM. ALDO PATRICIO BALKENHOL FLORES EIRL</v>
          </cell>
          <cell r="G3">
            <v>1</v>
          </cell>
          <cell r="I3">
            <v>45831</v>
          </cell>
          <cell r="J3" t="str">
            <v>10 hs</v>
          </cell>
          <cell r="K3" t="str">
            <v>11 hs</v>
          </cell>
          <cell r="L3">
            <v>1</v>
          </cell>
          <cell r="M3">
            <v>1</v>
          </cell>
          <cell r="N3" t="str">
            <v>Promotor -</v>
          </cell>
          <cell r="O3" t="str">
            <v>Gabriel Vallejos</v>
          </cell>
          <cell r="P3" t="str">
            <v>Enc Log y Almc</v>
          </cell>
          <cell r="Q3" t="str">
            <v>gabrielvallejos2018@gmail.com</v>
          </cell>
          <cell r="S3">
            <v>1</v>
          </cell>
          <cell r="T3">
            <v>1</v>
          </cell>
          <cell r="V3">
            <v>45887</v>
          </cell>
          <cell r="W3" t="str">
            <v>Realizada</v>
          </cell>
          <cell r="Z3">
            <v>0.95931499994699998</v>
          </cell>
          <cell r="AA3" t="str">
            <v>PROACTIVO</v>
          </cell>
          <cell r="AB3">
            <v>12</v>
          </cell>
          <cell r="AC3">
            <v>4</v>
          </cell>
          <cell r="AD3">
            <v>0.95677083327449997</v>
          </cell>
          <cell r="AE3" t="str">
            <v>PROACTIVO</v>
          </cell>
          <cell r="AF3">
            <v>12</v>
          </cell>
          <cell r="AG3">
            <v>0.96830000000000005</v>
          </cell>
        </row>
        <row r="4">
          <cell r="E4" t="str">
            <v>COM.Y DIST.PABLO FAUNDEZ RETAMALES EIRL</v>
          </cell>
          <cell r="G4">
            <v>1</v>
          </cell>
          <cell r="I4">
            <v>45831</v>
          </cell>
          <cell r="J4" t="str">
            <v>14 hs</v>
          </cell>
          <cell r="K4" t="str">
            <v>15 hs</v>
          </cell>
          <cell r="L4">
            <v>1</v>
          </cell>
          <cell r="M4">
            <v>1</v>
          </cell>
          <cell r="N4" t="str">
            <v>Promotor</v>
          </cell>
          <cell r="O4" t="str">
            <v>Adriana Flores</v>
          </cell>
          <cell r="P4" t="str">
            <v>Enc Adm y Bodega</v>
          </cell>
          <cell r="Q4" t="str">
            <v>adry.flores89@gmail.com</v>
          </cell>
          <cell r="S4">
            <v>1</v>
          </cell>
          <cell r="T4">
            <v>1</v>
          </cell>
          <cell r="V4">
            <v>45889</v>
          </cell>
          <cell r="W4" t="str">
            <v>Realizada</v>
          </cell>
          <cell r="Z4">
            <v>0.91484083327450005</v>
          </cell>
          <cell r="AA4" t="str">
            <v>ACTIVO</v>
          </cell>
          <cell r="AB4">
            <v>10</v>
          </cell>
          <cell r="AC4">
            <v>4</v>
          </cell>
          <cell r="AD4">
            <v>0.92985208327470004</v>
          </cell>
          <cell r="AE4" t="str">
            <v>ACTIVO</v>
          </cell>
          <cell r="AF4">
            <v>9</v>
          </cell>
          <cell r="AG4">
            <v>0.95209999999999995</v>
          </cell>
        </row>
        <row r="5">
          <cell r="E5" t="str">
            <v>DIST.Y COM. CECILIO A. ALONSO HIDALGO SPA</v>
          </cell>
          <cell r="G5">
            <v>1</v>
          </cell>
          <cell r="I5">
            <v>45835</v>
          </cell>
          <cell r="J5" t="str">
            <v>11 hs</v>
          </cell>
          <cell r="K5" t="str">
            <v>12 hs</v>
          </cell>
          <cell r="L5">
            <v>1</v>
          </cell>
          <cell r="M5">
            <v>1</v>
          </cell>
          <cell r="N5" t="str">
            <v>Promotor</v>
          </cell>
          <cell r="O5" t="str">
            <v>Cecilio Alonso (h)</v>
          </cell>
          <cell r="P5" t="str">
            <v>Gte Comercial</v>
          </cell>
          <cell r="Q5" t="str">
            <v>cecilioalonsoh@gmail.com</v>
          </cell>
          <cell r="S5">
            <v>1</v>
          </cell>
          <cell r="T5">
            <v>1</v>
          </cell>
          <cell r="V5">
            <v>45890</v>
          </cell>
          <cell r="W5" t="str">
            <v>Realizada</v>
          </cell>
          <cell r="Z5">
            <v>0.94800333327450004</v>
          </cell>
          <cell r="AA5" t="str">
            <v>ACTIVO</v>
          </cell>
          <cell r="AB5">
            <v>11</v>
          </cell>
          <cell r="AC5">
            <v>3</v>
          </cell>
          <cell r="AD5">
            <v>0.8334708332745</v>
          </cell>
          <cell r="AE5" t="str">
            <v>ACTIVO</v>
          </cell>
          <cell r="AF5">
            <v>10</v>
          </cell>
          <cell r="AG5">
            <v>0.98499999999999999</v>
          </cell>
        </row>
        <row r="6">
          <cell r="E6" t="str">
            <v>SOC.COMERCIALIZADORA Y DIST.OVIEDO SPA</v>
          </cell>
          <cell r="G6">
            <v>1</v>
          </cell>
          <cell r="I6">
            <v>45842</v>
          </cell>
          <cell r="J6" t="str">
            <v>8,30 hs</v>
          </cell>
          <cell r="K6" t="str">
            <v>9,30 hs</v>
          </cell>
          <cell r="L6">
            <v>1</v>
          </cell>
          <cell r="M6">
            <v>1</v>
          </cell>
          <cell r="N6" t="str">
            <v>Neutral</v>
          </cell>
          <cell r="O6" t="str">
            <v>Ma. Jose / Jaime Serpa / Evelyn / Carolina</v>
          </cell>
          <cell r="P6" t="str">
            <v>Control de Gestion / Red Activa / Inventarios / Audit int</v>
          </cell>
          <cell r="Q6" t="str">
            <v>mjclavero@gmail.com
distribuidoraoviedospa@gmail.com</v>
          </cell>
          <cell r="S6">
            <v>1</v>
          </cell>
          <cell r="T6">
            <v>1</v>
          </cell>
          <cell r="V6">
            <v>45894</v>
          </cell>
          <cell r="W6" t="str">
            <v>Realizada</v>
          </cell>
          <cell r="Z6">
            <v>0.99800333327449997</v>
          </cell>
          <cell r="AA6" t="str">
            <v>PROACTIVO</v>
          </cell>
          <cell r="AB6">
            <v>12</v>
          </cell>
          <cell r="AC6">
            <v>5</v>
          </cell>
          <cell r="AD6">
            <v>0.97521583327460004</v>
          </cell>
          <cell r="AE6" t="str">
            <v>PROACTIVO</v>
          </cell>
          <cell r="AF6">
            <v>12</v>
          </cell>
          <cell r="AG6">
            <v>0.96899999999999997</v>
          </cell>
        </row>
        <row r="7">
          <cell r="E7" t="str">
            <v>COM.Y DIS.DE CONFIT.CARLOS MARDONES EIRL</v>
          </cell>
          <cell r="G7">
            <v>1</v>
          </cell>
          <cell r="I7">
            <v>45831</v>
          </cell>
          <cell r="J7" t="str">
            <v>12 hs</v>
          </cell>
          <cell r="K7" t="str">
            <v>13 hs</v>
          </cell>
          <cell r="L7">
            <v>1</v>
          </cell>
          <cell r="M7">
            <v>1</v>
          </cell>
          <cell r="N7" t="str">
            <v>Neutral</v>
          </cell>
          <cell r="O7" t="str">
            <v>Carlos Mardones</v>
          </cell>
          <cell r="P7" t="str">
            <v>Titular</v>
          </cell>
          <cell r="Q7" t="str">
            <v>carlos.mardones26@gmail.com ; idiazmarchant@gmail.com</v>
          </cell>
          <cell r="S7">
            <v>1</v>
          </cell>
          <cell r="T7">
            <v>1</v>
          </cell>
          <cell r="V7">
            <v>45897</v>
          </cell>
          <cell r="W7" t="str">
            <v>Realizada</v>
          </cell>
          <cell r="Z7">
            <v>0.88137833327449999</v>
          </cell>
          <cell r="AA7" t="str">
            <v>ACTIVO</v>
          </cell>
          <cell r="AB7">
            <v>10</v>
          </cell>
          <cell r="AC7">
            <v>1</v>
          </cell>
          <cell r="AD7">
            <v>0.66069124994700001</v>
          </cell>
          <cell r="AE7" t="str">
            <v>REACTIVO</v>
          </cell>
          <cell r="AF7">
            <v>7</v>
          </cell>
          <cell r="AG7">
            <v>0.80920000000000003</v>
          </cell>
        </row>
        <row r="8">
          <cell r="E8" t="str">
            <v>DIST.Y COMERCIALIZADORA ACUÑA GONZALEZ L</v>
          </cell>
          <cell r="G8">
            <v>1</v>
          </cell>
          <cell r="I8">
            <v>45833</v>
          </cell>
          <cell r="J8" t="str">
            <v>10,30 hs</v>
          </cell>
          <cell r="K8" t="str">
            <v>11,30 hs</v>
          </cell>
          <cell r="L8">
            <v>1</v>
          </cell>
          <cell r="M8">
            <v>1</v>
          </cell>
          <cell r="N8" t="str">
            <v>Promotor</v>
          </cell>
          <cell r="O8" t="str">
            <v>Fernando Acuña Gonzalez + Marisel Bustos</v>
          </cell>
          <cell r="P8" t="str">
            <v>Titular + Administrativa</v>
          </cell>
          <cell r="Q8" t="str">
            <v>mariselbustos.ag@gmail.com; yuli.martinez.cortes@gmail.com; feracunagonza@gmail.com</v>
          </cell>
          <cell r="S8">
            <v>1</v>
          </cell>
          <cell r="T8">
            <v>1</v>
          </cell>
          <cell r="V8">
            <v>45902</v>
          </cell>
          <cell r="W8" t="str">
            <v>Realizada</v>
          </cell>
          <cell r="Z8">
            <v>0.88670833327450005</v>
          </cell>
          <cell r="AA8" t="str">
            <v>ACTIVO</v>
          </cell>
          <cell r="AB8">
            <v>11</v>
          </cell>
          <cell r="AC8">
            <v>0</v>
          </cell>
          <cell r="AD8">
            <v>0.70394208327450003</v>
          </cell>
          <cell r="AE8" t="str">
            <v>REACTIVO</v>
          </cell>
          <cell r="AF8">
            <v>6</v>
          </cell>
          <cell r="AG8">
            <v>0.78979999999999995</v>
          </cell>
        </row>
        <row r="9">
          <cell r="E9" t="str">
            <v>SOCIEDAD COMERCIAL MULTIMIX LIMITADA</v>
          </cell>
          <cell r="G9">
            <v>1</v>
          </cell>
          <cell r="I9">
            <v>45842</v>
          </cell>
          <cell r="J9" t="str">
            <v>12 hs</v>
          </cell>
          <cell r="K9" t="str">
            <v>13 hs</v>
          </cell>
          <cell r="L9">
            <v>1</v>
          </cell>
          <cell r="M9">
            <v>1</v>
          </cell>
          <cell r="N9" t="str">
            <v xml:space="preserve">Promotor </v>
          </cell>
          <cell r="O9" t="str">
            <v>Esteban / cristian Rivas</v>
          </cell>
          <cell r="P9" t="str">
            <v>Titular / Gte Operaciones</v>
          </cell>
          <cell r="Q9" t="str">
            <v>comercialmultimix@hotmail.com; cristian.rivas.de@gmail.com</v>
          </cell>
          <cell r="S9">
            <v>1</v>
          </cell>
          <cell r="T9">
            <v>1</v>
          </cell>
          <cell r="V9">
            <v>45904</v>
          </cell>
          <cell r="W9" t="str">
            <v>Realizada</v>
          </cell>
          <cell r="Z9">
            <v>0.97215958327450003</v>
          </cell>
          <cell r="AA9" t="str">
            <v>PROACTIVO</v>
          </cell>
          <cell r="AB9">
            <v>12</v>
          </cell>
          <cell r="AC9">
            <v>1</v>
          </cell>
          <cell r="AD9">
            <v>0.84018458327449996</v>
          </cell>
          <cell r="AE9" t="str">
            <v>ACTIVO</v>
          </cell>
          <cell r="AF9">
            <v>10</v>
          </cell>
          <cell r="AG9">
            <v>0.95120000000000005</v>
          </cell>
        </row>
        <row r="10">
          <cell r="E10" t="str">
            <v>SOCIEDAD COMERCIAL BOREAS D Y S LTDA.</v>
          </cell>
          <cell r="G10">
            <v>1</v>
          </cell>
          <cell r="I10">
            <v>45834</v>
          </cell>
          <cell r="J10" t="str">
            <v>12,30 hs</v>
          </cell>
          <cell r="K10" t="str">
            <v>13,30 hs</v>
          </cell>
          <cell r="L10">
            <v>1</v>
          </cell>
          <cell r="M10">
            <v>1</v>
          </cell>
          <cell r="N10" t="str">
            <v>Promotor</v>
          </cell>
          <cell r="O10" t="str">
            <v>Catalina Reyes</v>
          </cell>
          <cell r="P10" t="str">
            <v>Red activa</v>
          </cell>
          <cell r="Q10" t="str">
            <v>mauricio.reyes@boreasdys.cl; paulina.morales@boreasdys.cl; catalina.reyes@boreasdys.cl</v>
          </cell>
          <cell r="S10">
            <v>1</v>
          </cell>
          <cell r="T10">
            <v>1</v>
          </cell>
          <cell r="V10">
            <v>45910</v>
          </cell>
          <cell r="W10" t="str">
            <v>Realizada</v>
          </cell>
          <cell r="Z10">
            <v>0.88334208327450003</v>
          </cell>
          <cell r="AA10" t="str">
            <v>ACTIVO</v>
          </cell>
          <cell r="AB10">
            <v>9</v>
          </cell>
          <cell r="AC10">
            <v>5</v>
          </cell>
          <cell r="AD10">
            <v>0.82752083327449988</v>
          </cell>
          <cell r="AE10" t="str">
            <v>ACTIVO</v>
          </cell>
          <cell r="AF10">
            <v>8</v>
          </cell>
          <cell r="AG10">
            <v>0.94579999999999997</v>
          </cell>
        </row>
        <row r="11">
          <cell r="E11" t="str">
            <v>COMERCIALIZADORA COMCELL E.I.R.L.</v>
          </cell>
          <cell r="G11">
            <v>1</v>
          </cell>
          <cell r="I11">
            <v>45835</v>
          </cell>
          <cell r="J11" t="str">
            <v>12 hs</v>
          </cell>
          <cell r="K11" t="str">
            <v>13 hs</v>
          </cell>
          <cell r="L11">
            <v>1</v>
          </cell>
          <cell r="M11">
            <v>1</v>
          </cell>
          <cell r="N11" t="str">
            <v>Promotor</v>
          </cell>
          <cell r="O11" t="str">
            <v>Jaime Orellana</v>
          </cell>
          <cell r="P11" t="str">
            <v>encargado de Bodega</v>
          </cell>
          <cell r="Q11" t="str">
            <v>comcell1@gmail.com; operaciones.comcell@gmail.com</v>
          </cell>
          <cell r="S11">
            <v>1</v>
          </cell>
          <cell r="T11">
            <v>1</v>
          </cell>
          <cell r="V11">
            <v>45911</v>
          </cell>
          <cell r="W11" t="str">
            <v>Realizada</v>
          </cell>
          <cell r="Z11">
            <v>0.97542083327450002</v>
          </cell>
          <cell r="AA11" t="str">
            <v>ACTIVO</v>
          </cell>
          <cell r="AB11">
            <v>11</v>
          </cell>
          <cell r="AC11">
            <v>2</v>
          </cell>
          <cell r="AD11">
            <v>0.83607499994700007</v>
          </cell>
          <cell r="AE11" t="str">
            <v>ACTIVO</v>
          </cell>
          <cell r="AF11">
            <v>8</v>
          </cell>
          <cell r="AG11">
            <v>0.92600000000000005</v>
          </cell>
        </row>
        <row r="12">
          <cell r="E12" t="str">
            <v>SAAVEDRA PANTOJA RAUL</v>
          </cell>
          <cell r="G12">
            <v>1</v>
          </cell>
          <cell r="I12">
            <v>45845</v>
          </cell>
          <cell r="J12" t="str">
            <v>9 hs</v>
          </cell>
          <cell r="K12" t="str">
            <v>10 hs</v>
          </cell>
          <cell r="L12">
            <v>1</v>
          </cell>
          <cell r="M12">
            <v>1</v>
          </cell>
          <cell r="N12" t="str">
            <v xml:space="preserve">Neutral </v>
          </cell>
          <cell r="O12" t="str">
            <v>Mariela  Suazo</v>
          </cell>
          <cell r="P12" t="str">
            <v>??</v>
          </cell>
          <cell r="Q12" t="str">
            <v>bersa.arauco@gmail.com</v>
          </cell>
          <cell r="S12">
            <v>1</v>
          </cell>
          <cell r="T12">
            <v>1</v>
          </cell>
          <cell r="V12">
            <v>45915</v>
          </cell>
          <cell r="W12" t="str">
            <v>Realizada</v>
          </cell>
          <cell r="Z12">
            <v>0.76608999994700011</v>
          </cell>
          <cell r="AA12" t="str">
            <v>REACTIVO</v>
          </cell>
          <cell r="AB12">
            <v>6</v>
          </cell>
          <cell r="AC12">
            <v>0</v>
          </cell>
          <cell r="AD12">
            <v>0.66266916661989994</v>
          </cell>
          <cell r="AE12" t="str">
            <v>REACTIVO</v>
          </cell>
          <cell r="AF12">
            <v>6</v>
          </cell>
          <cell r="AG12">
            <v>0.97929999999999995</v>
          </cell>
        </row>
        <row r="13">
          <cell r="E13" t="str">
            <v>SOC.COM.SERGIO AGUIRRE ZEBALLO</v>
          </cell>
          <cell r="G13">
            <v>1</v>
          </cell>
          <cell r="I13">
            <v>45841</v>
          </cell>
          <cell r="J13" t="str">
            <v>13 hs</v>
          </cell>
          <cell r="K13" t="str">
            <v>14 hs</v>
          </cell>
          <cell r="L13">
            <v>1</v>
          </cell>
          <cell r="M13">
            <v>1</v>
          </cell>
          <cell r="N13" t="str">
            <v>Promotor -</v>
          </cell>
          <cell r="O13" t="str">
            <v>Sergio Aguirre / Marcelo / Luis</v>
          </cell>
          <cell r="P13" t="str">
            <v>Titular / Hijo Tit (Operaciones / Gte Fin</v>
          </cell>
          <cell r="Q13" t="str">
            <v>chelogranate@hotmail.com; luiszeballoscerda@gmail.com</v>
          </cell>
          <cell r="S13">
            <v>1</v>
          </cell>
          <cell r="T13">
            <v>1</v>
          </cell>
          <cell r="V13">
            <v>45916</v>
          </cell>
          <cell r="W13" t="str">
            <v>Realizada</v>
          </cell>
          <cell r="Z13">
            <v>0.90687833327470002</v>
          </cell>
          <cell r="AA13" t="str">
            <v>ACTIVO</v>
          </cell>
          <cell r="AB13">
            <v>10</v>
          </cell>
          <cell r="AC13">
            <v>2</v>
          </cell>
          <cell r="AD13">
            <v>0.84213083327490001</v>
          </cell>
          <cell r="AE13" t="str">
            <v>ACTIVO</v>
          </cell>
          <cell r="AF13">
            <v>8</v>
          </cell>
          <cell r="AG13">
            <v>0.97360000000000002</v>
          </cell>
        </row>
        <row r="14">
          <cell r="E14" t="str">
            <v>DISTRIBUIDORA Y COMERCIALIZADORA MILY LTDA</v>
          </cell>
          <cell r="G14">
            <v>1</v>
          </cell>
          <cell r="I14">
            <v>45840</v>
          </cell>
          <cell r="J14" t="str">
            <v>15 hs</v>
          </cell>
          <cell r="K14" t="str">
            <v>16 hs</v>
          </cell>
          <cell r="L14">
            <v>1</v>
          </cell>
          <cell r="M14">
            <v>1</v>
          </cell>
          <cell r="N14" t="str">
            <v>Neutral</v>
          </cell>
          <cell r="O14" t="str">
            <v>Mauricio / Josselyn</v>
          </cell>
          <cell r="P14" t="str">
            <v>Titular / Adm.</v>
          </cell>
          <cell r="Q14" t="str">
            <v>comercialmily@gmail.com</v>
          </cell>
          <cell r="S14">
            <v>1</v>
          </cell>
          <cell r="T14">
            <v>1</v>
          </cell>
          <cell r="V14">
            <v>45924</v>
          </cell>
          <cell r="W14" t="str">
            <v>Realizada</v>
          </cell>
          <cell r="AC14">
            <v>0</v>
          </cell>
          <cell r="AD14">
            <v>0.62104708327449998</v>
          </cell>
          <cell r="AE14" t="str">
            <v>REACTIVO</v>
          </cell>
          <cell r="AF14">
            <v>6</v>
          </cell>
          <cell r="AG14">
            <v>0.84430000000000005</v>
          </cell>
        </row>
        <row r="15">
          <cell r="E15" t="str">
            <v>DIST. Y COM. IGNACIO CARVAJAL CASTRO EIRL</v>
          </cell>
          <cell r="G15">
            <v>1</v>
          </cell>
          <cell r="I15">
            <v>45841</v>
          </cell>
          <cell r="J15" t="str">
            <v>11 hs</v>
          </cell>
          <cell r="K15" t="str">
            <v>12 hs</v>
          </cell>
          <cell r="L15">
            <v>1</v>
          </cell>
          <cell r="M15">
            <v>1</v>
          </cell>
          <cell r="N15" t="str">
            <v>Neutral -</v>
          </cell>
          <cell r="O15" t="str">
            <v>Ignacio Carvajal</v>
          </cell>
          <cell r="P15" t="str">
            <v>Titular</v>
          </cell>
          <cell r="Q15" t="str">
            <v>gerenciaconfical@gmail.com; transportescarvajalltda@gmail.com</v>
          </cell>
          <cell r="S15">
            <v>1</v>
          </cell>
          <cell r="T15">
            <v>1</v>
          </cell>
          <cell r="V15">
            <v>45925</v>
          </cell>
          <cell r="W15" t="str">
            <v>Realizada</v>
          </cell>
          <cell r="AC15">
            <v>2</v>
          </cell>
          <cell r="AD15">
            <v>0.88164833327449998</v>
          </cell>
          <cell r="AE15" t="str">
            <v>ACTIVO</v>
          </cell>
          <cell r="AF15">
            <v>9</v>
          </cell>
          <cell r="AG15">
            <v>0.96079999999999999</v>
          </cell>
        </row>
        <row r="16">
          <cell r="E16" t="str">
            <v>MARIA LOPEZ PALLERO E.I.R.L.</v>
          </cell>
          <cell r="G16">
            <v>1</v>
          </cell>
          <cell r="I16">
            <v>45841</v>
          </cell>
          <cell r="J16" t="str">
            <v>10 hs</v>
          </cell>
          <cell r="K16" t="str">
            <v>11 hs</v>
          </cell>
          <cell r="L16">
            <v>1</v>
          </cell>
          <cell r="M16">
            <v>1</v>
          </cell>
          <cell r="N16" t="str">
            <v>Neutral</v>
          </cell>
          <cell r="O16" t="str">
            <v>Maria Pallero</v>
          </cell>
          <cell r="P16" t="str">
            <v>Titular</v>
          </cell>
          <cell r="Q16" t="str">
            <v>marylopezpallero@gmail.com</v>
          </cell>
          <cell r="S16">
            <v>1</v>
          </cell>
          <cell r="T16">
            <v>1</v>
          </cell>
          <cell r="V16">
            <v>45929</v>
          </cell>
          <cell r="W16" t="str">
            <v>Realizada</v>
          </cell>
          <cell r="Z16">
            <v>0.94304708327450004</v>
          </cell>
          <cell r="AA16" t="str">
            <v>ACTIVO</v>
          </cell>
          <cell r="AB16">
            <v>10</v>
          </cell>
          <cell r="AC16">
            <v>0</v>
          </cell>
          <cell r="AD16">
            <v>0.79526083327450015</v>
          </cell>
          <cell r="AE16" t="str">
            <v>ACTIVO</v>
          </cell>
          <cell r="AF16">
            <v>8</v>
          </cell>
          <cell r="AG16">
            <v>0.86499999999999999</v>
          </cell>
        </row>
        <row r="17">
          <cell r="E17" t="str">
            <v>DILEKU SPA</v>
          </cell>
          <cell r="G17">
            <v>1</v>
          </cell>
          <cell r="I17">
            <v>45842</v>
          </cell>
          <cell r="J17" t="str">
            <v>9,30 hs</v>
          </cell>
          <cell r="K17" t="str">
            <v>10,30 hs</v>
          </cell>
          <cell r="L17">
            <v>1</v>
          </cell>
          <cell r="M17">
            <v>1</v>
          </cell>
          <cell r="N17" t="str">
            <v xml:space="preserve">Neutral </v>
          </cell>
          <cell r="O17" t="str">
            <v>Alvaro / Jorge / Joaquin</v>
          </cell>
          <cell r="P17" t="str">
            <v>Fact / Logistica / Red Activa</v>
          </cell>
          <cell r="Q17" t="str">
            <v>cesaraxel2017@gmail.com;  jlecumberriu@gmail.com;  jose.miguel.lecumberri.bilbao@gmail.com</v>
          </cell>
          <cell r="S17">
            <v>1</v>
          </cell>
          <cell r="T17">
            <v>1</v>
          </cell>
          <cell r="V17">
            <v>45932</v>
          </cell>
          <cell r="W17" t="str">
            <v>Realizada</v>
          </cell>
          <cell r="Z17">
            <v>0.81553208327449989</v>
          </cell>
          <cell r="AA17" t="str">
            <v>ACTIVO</v>
          </cell>
          <cell r="AB17">
            <v>9</v>
          </cell>
          <cell r="AC17">
            <v>0</v>
          </cell>
          <cell r="AD17">
            <v>0.74952874994700003</v>
          </cell>
          <cell r="AE17" t="str">
            <v>ACTIVO</v>
          </cell>
          <cell r="AF17">
            <v>8</v>
          </cell>
          <cell r="AG17">
            <v>0.84530000000000005</v>
          </cell>
        </row>
        <row r="18">
          <cell r="E18" t="str">
            <v>COM.Y DISTRIBUIDORA FARO LTDA.</v>
          </cell>
          <cell r="G18">
            <v>1</v>
          </cell>
          <cell r="I18">
            <v>45838</v>
          </cell>
          <cell r="J18" t="str">
            <v>9,30 hs</v>
          </cell>
          <cell r="K18" t="str">
            <v>10,30 hs</v>
          </cell>
          <cell r="L18">
            <v>1</v>
          </cell>
          <cell r="M18">
            <v>1</v>
          </cell>
          <cell r="N18" t="str">
            <v>Neutral</v>
          </cell>
          <cell r="O18" t="str">
            <v>Marylin</v>
          </cell>
          <cell r="P18" t="str">
            <v>Esposa del Titular</v>
          </cell>
          <cell r="Q18" t="str">
            <v>jhrb302011@gmail.com</v>
          </cell>
          <cell r="S18">
            <v>1</v>
          </cell>
          <cell r="T18">
            <v>1</v>
          </cell>
          <cell r="V18">
            <v>45938</v>
          </cell>
          <cell r="W18" t="str">
            <v>Realizada</v>
          </cell>
          <cell r="AC18">
            <v>0</v>
          </cell>
          <cell r="AD18">
            <v>0.56726374994740003</v>
          </cell>
          <cell r="AE18" t="str">
            <v>INACTIVO</v>
          </cell>
          <cell r="AF18">
            <v>3</v>
          </cell>
          <cell r="AG18">
            <v>0.88119999999999998</v>
          </cell>
        </row>
        <row r="19">
          <cell r="E19" t="str">
            <v>DISTRIB.Y COMERCIALIZADORA CONFITIME LTDA</v>
          </cell>
          <cell r="G19">
            <v>1</v>
          </cell>
          <cell r="L19">
            <v>0</v>
          </cell>
          <cell r="M19">
            <v>1</v>
          </cell>
          <cell r="N19" t="str">
            <v>No participó</v>
          </cell>
          <cell r="O19" t="str">
            <v>Barbara Sepulveda</v>
          </cell>
          <cell r="Q19" t="str">
            <v>confitime298@gmail.com; confisur@gmail.com</v>
          </cell>
          <cell r="S19">
            <v>1</v>
          </cell>
          <cell r="T19">
            <v>1</v>
          </cell>
          <cell r="V19">
            <v>45939</v>
          </cell>
          <cell r="W19" t="str">
            <v>Realizada</v>
          </cell>
          <cell r="Z19">
            <v>0.82438583327449999</v>
          </cell>
          <cell r="AA19" t="str">
            <v>REACTIVO</v>
          </cell>
          <cell r="AB19">
            <v>7</v>
          </cell>
          <cell r="AC19">
            <v>1</v>
          </cell>
          <cell r="AD19">
            <v>0.85435333327449992</v>
          </cell>
          <cell r="AE19" t="str">
            <v>ACTIVO</v>
          </cell>
          <cell r="AF19">
            <v>8</v>
          </cell>
          <cell r="AG19">
            <v>0.82379999999999998</v>
          </cell>
        </row>
        <row r="20">
          <cell r="E20" t="str">
            <v>COMERCIAL MUSRI Y CIA.LTDA.</v>
          </cell>
          <cell r="G20">
            <v>1</v>
          </cell>
          <cell r="I20">
            <v>45834</v>
          </cell>
          <cell r="J20" t="str">
            <v>10,30 hs</v>
          </cell>
          <cell r="K20" t="str">
            <v>11,30 hs</v>
          </cell>
          <cell r="L20">
            <v>1</v>
          </cell>
          <cell r="M20">
            <v>1</v>
          </cell>
          <cell r="N20" t="str">
            <v>Neutral</v>
          </cell>
          <cell r="O20" t="str">
            <v>Carlos Musri + 1 persona de vacaciones</v>
          </cell>
          <cell r="P20" t="str">
            <v>"hijo del titular"</v>
          </cell>
          <cell r="Q20" t="str">
            <v>camsmusrijr@gmail.com; Zmusri@camsspa.cl</v>
          </cell>
          <cell r="S20">
            <v>0</v>
          </cell>
          <cell r="T20">
            <v>1</v>
          </cell>
          <cell r="V20">
            <v>45944</v>
          </cell>
          <cell r="W20" t="str">
            <v>Realizada</v>
          </cell>
          <cell r="Z20">
            <v>0.82097083327450004</v>
          </cell>
          <cell r="AA20" t="str">
            <v>ACTIVO</v>
          </cell>
          <cell r="AB20">
            <v>8</v>
          </cell>
          <cell r="AC20">
            <v>0</v>
          </cell>
          <cell r="AD20">
            <v>0.68313583327490002</v>
          </cell>
          <cell r="AE20" t="str">
            <v>REACTIVO</v>
          </cell>
          <cell r="AF20">
            <v>7</v>
          </cell>
          <cell r="AG20">
            <v>0.65359999999999996</v>
          </cell>
        </row>
        <row r="21">
          <cell r="E21" t="str">
            <v>DISTRIBUIDORA Y COMERC. TERRA DULCE LTDA.</v>
          </cell>
          <cell r="G21">
            <v>1</v>
          </cell>
          <cell r="I21">
            <v>45840</v>
          </cell>
          <cell r="J21" t="str">
            <v>11 hs</v>
          </cell>
          <cell r="K21" t="str">
            <v>12 hs</v>
          </cell>
          <cell r="L21">
            <v>1</v>
          </cell>
          <cell r="M21">
            <v>1</v>
          </cell>
          <cell r="N21" t="str">
            <v>Neutral</v>
          </cell>
          <cell r="O21" t="str">
            <v>Gonzalo Raganatto</v>
          </cell>
          <cell r="P21" t="str">
            <v>Logistica / adm</v>
          </cell>
          <cell r="Q21" t="str">
            <v>g.raganato@terradulcespa.com</v>
          </cell>
          <cell r="S21">
            <v>1</v>
          </cell>
          <cell r="T21">
            <v>1</v>
          </cell>
          <cell r="V21">
            <v>45945</v>
          </cell>
          <cell r="W21" t="str">
            <v>Realizada</v>
          </cell>
          <cell r="Z21">
            <v>0.7956308332744999</v>
          </cell>
          <cell r="AA21" t="str">
            <v>ACTIVO</v>
          </cell>
          <cell r="AB21">
            <v>8</v>
          </cell>
          <cell r="AC21">
            <v>3</v>
          </cell>
          <cell r="AD21">
            <v>0.76079874994719998</v>
          </cell>
          <cell r="AE21" t="str">
            <v>ACTIVO</v>
          </cell>
          <cell r="AF21">
            <v>8</v>
          </cell>
          <cell r="AG21">
            <v>0.96830000000000005</v>
          </cell>
        </row>
        <row r="22">
          <cell r="E22" t="str">
            <v>CRISTIAN NARANJO F.Y CIA.LTDA.</v>
          </cell>
          <cell r="G22">
            <v>1</v>
          </cell>
          <cell r="I22">
            <v>45834</v>
          </cell>
          <cell r="J22" t="str">
            <v>11,30 hs</v>
          </cell>
          <cell r="K22" t="str">
            <v>12,30 hs</v>
          </cell>
          <cell r="L22">
            <v>1</v>
          </cell>
          <cell r="M22">
            <v>1</v>
          </cell>
          <cell r="N22" t="str">
            <v>Promotor +</v>
          </cell>
          <cell r="O22" t="str">
            <v>Jorge Brevis</v>
          </cell>
          <cell r="P22" t="str">
            <v>Resp. operaciones</v>
          </cell>
          <cell r="Q22" t="str">
            <v>arcorquillota@gmail.com; jorge.brevis@jcsc.cl</v>
          </cell>
          <cell r="S22">
            <v>1</v>
          </cell>
          <cell r="T22">
            <v>1</v>
          </cell>
          <cell r="V22">
            <v>45946</v>
          </cell>
          <cell r="W22" t="str">
            <v>Realizada</v>
          </cell>
          <cell r="Z22">
            <v>0.98071583327450007</v>
          </cell>
          <cell r="AA22" t="str">
            <v>PROACTIVO</v>
          </cell>
          <cell r="AB22">
            <v>12</v>
          </cell>
          <cell r="AC22">
            <v>1</v>
          </cell>
          <cell r="AD22">
            <v>0.85401833327450005</v>
          </cell>
          <cell r="AE22" t="str">
            <v>ACTIVO</v>
          </cell>
          <cell r="AF22">
            <v>9</v>
          </cell>
          <cell r="AG22">
            <v>0.96209999999999996</v>
          </cell>
        </row>
        <row r="23">
          <cell r="E23" t="str">
            <v>DISTRIB.COM. MAURICIO A.RIFFO FISSORE EIRL</v>
          </cell>
          <cell r="G23">
            <v>1</v>
          </cell>
          <cell r="I23">
            <v>45835</v>
          </cell>
          <cell r="J23" t="str">
            <v>13 hs</v>
          </cell>
          <cell r="K23" t="str">
            <v>14 hs</v>
          </cell>
          <cell r="L23">
            <v>1</v>
          </cell>
          <cell r="M23">
            <v>1</v>
          </cell>
          <cell r="N23" t="str">
            <v>Neutral</v>
          </cell>
          <cell r="O23" t="str">
            <v>Mauricio Riffo</v>
          </cell>
          <cell r="P23" t="str">
            <v>Titular</v>
          </cell>
          <cell r="Q23" t="str">
            <v>m.riffo.f@gmail.com; jbrunschulz@gmail.com</v>
          </cell>
          <cell r="S23">
            <v>1</v>
          </cell>
          <cell r="T23">
            <v>1</v>
          </cell>
          <cell r="V23">
            <v>45947</v>
          </cell>
          <cell r="W23" t="str">
            <v>Realizada</v>
          </cell>
          <cell r="Z23">
            <v>0.78701583327450009</v>
          </cell>
          <cell r="AA23" t="str">
            <v>ACTIVO</v>
          </cell>
          <cell r="AB23">
            <v>9</v>
          </cell>
          <cell r="AC23">
            <v>0</v>
          </cell>
          <cell r="AD23">
            <v>0.67504083327450004</v>
          </cell>
          <cell r="AE23" t="str">
            <v>REACTIVO</v>
          </cell>
          <cell r="AF23">
            <v>6</v>
          </cell>
          <cell r="AG23">
            <v>0.84870000000000001</v>
          </cell>
        </row>
        <row r="24">
          <cell r="E24" t="str">
            <v>COMERCIAL DIBOR LIMITADA</v>
          </cell>
          <cell r="G24">
            <v>1</v>
          </cell>
          <cell r="I24">
            <v>45833</v>
          </cell>
          <cell r="J24" t="str">
            <v>15 hs</v>
          </cell>
          <cell r="K24" t="str">
            <v>16 hs</v>
          </cell>
          <cell r="L24">
            <v>1</v>
          </cell>
          <cell r="M24">
            <v>1</v>
          </cell>
          <cell r="N24" t="str">
            <v>Promotor</v>
          </cell>
          <cell r="O24" t="str">
            <v>Francisco Borselli + Juan Carlos + Luis</v>
          </cell>
          <cell r="P24" t="str">
            <v>Comercial / Logistica / Bodega</v>
          </cell>
          <cell r="Q24" t="str">
            <v>fborselli@gmail.com ; contacto@dibor.cl</v>
          </cell>
          <cell r="S24">
            <v>1</v>
          </cell>
          <cell r="T24">
            <v>1</v>
          </cell>
          <cell r="V24">
            <v>45950</v>
          </cell>
          <cell r="W24" t="str">
            <v>Realizada</v>
          </cell>
          <cell r="Z24">
            <v>0.96631458327449993</v>
          </cell>
          <cell r="AA24" t="str">
            <v>ACTIVO</v>
          </cell>
          <cell r="AB24">
            <v>9</v>
          </cell>
          <cell r="AC24">
            <v>4</v>
          </cell>
          <cell r="AD24">
            <v>0.89426208327470003</v>
          </cell>
          <cell r="AE24" t="str">
            <v>ACTIVO</v>
          </cell>
          <cell r="AF24">
            <v>8</v>
          </cell>
          <cell r="AG24">
            <v>0.99229999999999996</v>
          </cell>
        </row>
        <row r="25">
          <cell r="E25" t="str">
            <v>DISTRIB.COM. CARLOS M.RIFFO FISSORE EIRL</v>
          </cell>
          <cell r="G25">
            <v>1</v>
          </cell>
          <cell r="I25">
            <v>45838</v>
          </cell>
          <cell r="J25" t="str">
            <v>12 hs</v>
          </cell>
          <cell r="K25" t="str">
            <v>13 hs</v>
          </cell>
          <cell r="L25">
            <v>1</v>
          </cell>
          <cell r="M25">
            <v>1</v>
          </cell>
          <cell r="N25" t="str">
            <v>Neutral</v>
          </cell>
          <cell r="O25" t="str">
            <v>Roxana / Jose / Felipe / Genoveba</v>
          </cell>
          <cell r="P25" t="str">
            <v>Jefa Adm/ Bodega / Ctrol Int / Documenación</v>
          </cell>
          <cell r="Q25" t="str">
            <v>caramelladeu@gmail.com; facturacion.caramelladeu@gmail.com ; adm.caramelladeu@gmail.com</v>
          </cell>
          <cell r="S25">
            <v>1</v>
          </cell>
          <cell r="T25">
            <v>0</v>
          </cell>
          <cell r="V25">
            <v>45952</v>
          </cell>
          <cell r="W25" t="str">
            <v>Realizada</v>
          </cell>
          <cell r="Z25">
            <v>0.95286583327450003</v>
          </cell>
          <cell r="AA25" t="str">
            <v>ACTIVO</v>
          </cell>
          <cell r="AB25">
            <v>11</v>
          </cell>
          <cell r="AC25">
            <v>4</v>
          </cell>
          <cell r="AD25">
            <v>0.94442708327449998</v>
          </cell>
          <cell r="AE25" t="str">
            <v>ACTIVO</v>
          </cell>
          <cell r="AF25">
            <v>10</v>
          </cell>
          <cell r="AG25">
            <v>0.98450000000000004</v>
          </cell>
        </row>
        <row r="26">
          <cell r="E26" t="str">
            <v>DIST DE ALIMENTOS ALCOHOLADO DISALCO SPA</v>
          </cell>
          <cell r="G26">
            <v>1</v>
          </cell>
          <cell r="I26">
            <v>45834</v>
          </cell>
          <cell r="J26" t="str">
            <v>15,30 hs</v>
          </cell>
          <cell r="K26" t="str">
            <v>16,30 hs</v>
          </cell>
          <cell r="L26">
            <v>1</v>
          </cell>
          <cell r="M26">
            <v>0</v>
          </cell>
          <cell r="N26" t="str">
            <v>Neutral</v>
          </cell>
          <cell r="O26" t="str">
            <v>Atilio Aranguren</v>
          </cell>
          <cell r="P26" t="str">
            <v>Operaciones</v>
          </cell>
          <cell r="Q26" t="str">
            <v>atilioaranguren55@gmail.com</v>
          </cell>
          <cell r="S26">
            <v>1</v>
          </cell>
          <cell r="T26">
            <v>1</v>
          </cell>
          <cell r="V26">
            <v>45953</v>
          </cell>
          <cell r="W26" t="str">
            <v>Realizada</v>
          </cell>
          <cell r="AC26">
            <v>0</v>
          </cell>
          <cell r="AD26">
            <v>0.72611833327450004</v>
          </cell>
          <cell r="AE26" t="str">
            <v>REACTIVO</v>
          </cell>
          <cell r="AF26">
            <v>7</v>
          </cell>
          <cell r="AG26">
            <v>0.89559999999999995</v>
          </cell>
        </row>
        <row r="27">
          <cell r="E27" t="str">
            <v>DISTRIB. Y COMERCIALIZADORA DI-VAL LTDA.</v>
          </cell>
          <cell r="G27">
            <v>1</v>
          </cell>
          <cell r="I27">
            <v>45842</v>
          </cell>
          <cell r="J27" t="str">
            <v>10 hs</v>
          </cell>
          <cell r="K27" t="str">
            <v>11 hs</v>
          </cell>
          <cell r="L27">
            <v>1</v>
          </cell>
          <cell r="M27">
            <v>1</v>
          </cell>
          <cell r="N27" t="str">
            <v xml:space="preserve">Promotor </v>
          </cell>
          <cell r="O27" t="str">
            <v>Francisco</v>
          </cell>
          <cell r="P27" t="str">
            <v>Titular</v>
          </cell>
          <cell r="Q27" t="str">
            <v>dival.ltda@gmail.com; diazvaldessoto@gmail.com</v>
          </cell>
          <cell r="S27">
            <v>0</v>
          </cell>
          <cell r="T27">
            <v>1</v>
          </cell>
          <cell r="V27">
            <v>45954</v>
          </cell>
          <cell r="W27" t="str">
            <v>Realizada</v>
          </cell>
          <cell r="Z27">
            <v>0.70462291661949994</v>
          </cell>
          <cell r="AA27" t="str">
            <v>INACTIVO</v>
          </cell>
          <cell r="AB27">
            <v>5</v>
          </cell>
          <cell r="AC27">
            <v>2</v>
          </cell>
          <cell r="AD27">
            <v>0.69487416661949997</v>
          </cell>
          <cell r="AE27" t="str">
            <v>REACTIVO</v>
          </cell>
          <cell r="AF27">
            <v>6</v>
          </cell>
          <cell r="AG27">
            <v>0.92200000000000004</v>
          </cell>
        </row>
        <row r="28">
          <cell r="E28" t="str">
            <v>DISTRIB. Y COMERC. DISALVO LTDA.</v>
          </cell>
          <cell r="G28">
            <v>1</v>
          </cell>
          <cell r="I28">
            <v>45835</v>
          </cell>
          <cell r="J28" t="str">
            <v>14,30 hs</v>
          </cell>
          <cell r="K28" t="str">
            <v>15,30 hs</v>
          </cell>
          <cell r="L28">
            <v>1</v>
          </cell>
          <cell r="M28">
            <v>1</v>
          </cell>
          <cell r="N28" t="str">
            <v>Neutral +</v>
          </cell>
          <cell r="O28" t="str">
            <v>Samuel Muñoz / Adrian / Jorge Salvo</v>
          </cell>
          <cell r="P28" t="str">
            <v>Gte Operaciones (Bod y trans) / Bodega / Titular</v>
          </cell>
          <cell r="Q28" t="str">
            <v>samunoz.disalvo@gmail.com; ahrodriguez.disalvo@gmail.com; jorgesalvom.disalvo@gmail.com</v>
          </cell>
          <cell r="S28">
            <v>1</v>
          </cell>
          <cell r="T28">
            <v>1</v>
          </cell>
          <cell r="V28">
            <v>45957</v>
          </cell>
          <cell r="W28" t="str">
            <v>Realizada</v>
          </cell>
          <cell r="Z28">
            <v>0.27046708330949998</v>
          </cell>
          <cell r="AA28" t="str">
            <v>INACTIVO</v>
          </cell>
          <cell r="AB28">
            <v>2</v>
          </cell>
          <cell r="AC28">
            <v>2</v>
          </cell>
          <cell r="AD28">
            <v>0.72420583330949995</v>
          </cell>
          <cell r="AE28" t="str">
            <v>REACTIVO</v>
          </cell>
          <cell r="AF28">
            <v>6</v>
          </cell>
          <cell r="AG28">
            <v>0.755</v>
          </cell>
        </row>
        <row r="29">
          <cell r="E29" t="str">
            <v>COMERCIAL HAMBURGO LTDA.</v>
          </cell>
          <cell r="G29">
            <v>1</v>
          </cell>
          <cell r="I29">
            <v>45833</v>
          </cell>
          <cell r="J29" t="str">
            <v>14 hs</v>
          </cell>
          <cell r="K29" t="str">
            <v>15 hs</v>
          </cell>
          <cell r="L29">
            <v>1</v>
          </cell>
          <cell r="M29">
            <v>1</v>
          </cell>
          <cell r="N29" t="str">
            <v>Promotor -</v>
          </cell>
          <cell r="O29" t="str">
            <v>Sebastian Castro</v>
          </cell>
          <cell r="P29" t="str">
            <v>Multifunción</v>
          </cell>
          <cell r="Q29" t="str">
            <v>jbrunschulz@gmail.com; scastro@hamburgotemuco.cl</v>
          </cell>
          <cell r="S29">
            <v>1</v>
          </cell>
          <cell r="T29">
            <v>1</v>
          </cell>
          <cell r="V29">
            <v>45959</v>
          </cell>
          <cell r="W29" t="str">
            <v>Realizada</v>
          </cell>
          <cell r="Z29">
            <v>0.8055145832745001</v>
          </cell>
          <cell r="AA29" t="str">
            <v>ACTIVO</v>
          </cell>
          <cell r="AB29">
            <v>8</v>
          </cell>
          <cell r="AC29">
            <v>3</v>
          </cell>
          <cell r="AD29">
            <v>0.72235833327450005</v>
          </cell>
          <cell r="AE29" t="str">
            <v>REACTIVO</v>
          </cell>
          <cell r="AF29">
            <v>6</v>
          </cell>
          <cell r="AG29">
            <v>0.75680000000000003</v>
          </cell>
        </row>
        <row r="30">
          <cell r="E30" t="str">
            <v>COMERCIAL DISGAL LIMITADA</v>
          </cell>
          <cell r="G30">
            <v>1</v>
          </cell>
          <cell r="I30">
            <v>45833</v>
          </cell>
          <cell r="J30" t="str">
            <v>12 hs</v>
          </cell>
          <cell r="K30" t="str">
            <v>13 hs</v>
          </cell>
          <cell r="L30">
            <v>1</v>
          </cell>
          <cell r="M30">
            <v>0</v>
          </cell>
          <cell r="N30" t="str">
            <v>Promotor -</v>
          </cell>
          <cell r="O30" t="str">
            <v>Claudio Galaz / Maria Latorre</v>
          </cell>
          <cell r="P30" t="str">
            <v>Titular / ??</v>
          </cell>
          <cell r="Q30" t="str">
            <v>claudiogalazq@gmail.com; mlatorre.disgal@gmail.com;sebagonzalez.arcorchile@gmail.com; pjcarmijo@gmail.com</v>
          </cell>
          <cell r="S30">
            <v>1</v>
          </cell>
          <cell r="T30">
            <v>1</v>
          </cell>
          <cell r="V30">
            <v>45964</v>
          </cell>
          <cell r="W30" t="str">
            <v>Realizada</v>
          </cell>
          <cell r="AC30">
            <v>0</v>
          </cell>
          <cell r="AD30">
            <v>0.70267833327450013</v>
          </cell>
          <cell r="AE30" t="str">
            <v>REACTIVO</v>
          </cell>
          <cell r="AF30">
            <v>6</v>
          </cell>
          <cell r="AG30">
            <v>0.83909999999999996</v>
          </cell>
        </row>
        <row r="31">
          <cell r="E31" t="str">
            <v>DISTRIBUIDORA C Y C  Y CIA.LTDA.</v>
          </cell>
          <cell r="G31">
            <v>1</v>
          </cell>
          <cell r="I31">
            <v>45840</v>
          </cell>
          <cell r="J31" t="str">
            <v>9 hs</v>
          </cell>
          <cell r="K31" t="str">
            <v>10 hs</v>
          </cell>
          <cell r="L31">
            <v>1</v>
          </cell>
          <cell r="M31">
            <v>1</v>
          </cell>
          <cell r="N31" t="str">
            <v>Neutral</v>
          </cell>
          <cell r="O31" t="str">
            <v>Paloma / Cristian</v>
          </cell>
          <cell r="P31" t="str">
            <v>Adm / Titular</v>
          </cell>
          <cell r="Q31" t="str">
            <v>paloma.arayaoviedo@gmail.com; cboltonu@gmail.com</v>
          </cell>
          <cell r="S31">
            <v>1</v>
          </cell>
          <cell r="T31">
            <v>1</v>
          </cell>
          <cell r="V31">
            <v>45966</v>
          </cell>
          <cell r="W31" t="str">
            <v>Realizada</v>
          </cell>
          <cell r="Z31">
            <v>0.9379308332745</v>
          </cell>
          <cell r="AA31" t="str">
            <v>ACTIVO</v>
          </cell>
          <cell r="AB31">
            <v>10</v>
          </cell>
          <cell r="AC31">
            <v>1</v>
          </cell>
          <cell r="AD31">
            <v>0.77080333327469996</v>
          </cell>
          <cell r="AE31" t="str">
            <v>ACTIVO</v>
          </cell>
          <cell r="AF31">
            <v>8</v>
          </cell>
          <cell r="AG31">
            <v>0.89119999999999999</v>
          </cell>
        </row>
      </sheetData>
      <sheetData sheetId="1"/>
      <sheetData sheetId="2"/>
      <sheetData sheetId="3"/>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F0826-9450-4358-BA37-767B83398080}">
  <sheetPr>
    <tabColor rgb="FFFF0000"/>
  </sheetPr>
  <dimension ref="A1:V96"/>
  <sheetViews>
    <sheetView showGridLines="0" topLeftCell="A44" zoomScale="70" zoomScaleNormal="70" workbookViewId="0">
      <selection activeCell="L8" sqref="L8"/>
    </sheetView>
  </sheetViews>
  <sheetFormatPr baseColWidth="10" defaultRowHeight="15.75" x14ac:dyDescent="0.25"/>
  <cols>
    <col min="1" max="1" width="11.875" customWidth="1"/>
    <col min="2" max="2" width="32.625" customWidth="1"/>
    <col min="3" max="3" width="6.375" style="3" bestFit="1" customWidth="1"/>
    <col min="4" max="4" width="50.25" bestFit="1" customWidth="1"/>
    <col min="5" max="5" width="1.625" customWidth="1"/>
    <col min="9" max="9" width="19.625" bestFit="1" customWidth="1"/>
    <col min="10" max="10" width="14.625" customWidth="1"/>
    <col min="13" max="13" width="11" style="4"/>
    <col min="18" max="18" width="9.25" bestFit="1" customWidth="1"/>
    <col min="19" max="19" width="12.125" bestFit="1" customWidth="1"/>
    <col min="20" max="20" width="5.5" bestFit="1" customWidth="1"/>
    <col min="21" max="21" width="3.375" bestFit="1" customWidth="1"/>
    <col min="22" max="22" width="12.125" bestFit="1" customWidth="1"/>
  </cols>
  <sheetData>
    <row r="1" spans="2:12" x14ac:dyDescent="0.25">
      <c r="C1"/>
    </row>
    <row r="2" spans="2:12" x14ac:dyDescent="0.25">
      <c r="C2"/>
    </row>
    <row r="3" spans="2:12" x14ac:dyDescent="0.25">
      <c r="C3"/>
    </row>
    <row r="4" spans="2:12" ht="16.5" thickBot="1" x14ac:dyDescent="0.3">
      <c r="C4"/>
    </row>
    <row r="5" spans="2:12" ht="16.5" thickTop="1" x14ac:dyDescent="0.25">
      <c r="B5" s="374" t="s">
        <v>1638</v>
      </c>
      <c r="C5" s="377">
        <f>+IFT!O3</f>
        <v>0.25</v>
      </c>
      <c r="D5" s="87" t="str">
        <f>+IFT!C8</f>
        <v>EMPLAZAMIENTO</v>
      </c>
      <c r="E5" s="83"/>
      <c r="F5" s="121">
        <f>+IFT!F8</f>
        <v>0.94000000000000006</v>
      </c>
      <c r="H5" s="361">
        <f>+IFT!F3</f>
        <v>0.93175000000000019</v>
      </c>
      <c r="I5" s="361">
        <f>+'Dashboard Gral (2.0)'!C5</f>
        <v>0.25</v>
      </c>
    </row>
    <row r="6" spans="2:12" ht="16.5" customHeight="1" x14ac:dyDescent="0.25">
      <c r="B6" s="375"/>
      <c r="C6" s="378"/>
      <c r="D6" s="88" t="str">
        <f>+IFT!C19</f>
        <v>EDIFICACION</v>
      </c>
      <c r="E6" s="83"/>
      <c r="F6" s="122">
        <f>+IFT!F19</f>
        <v>0.92500000000000004</v>
      </c>
      <c r="H6" s="362"/>
      <c r="I6" s="362"/>
      <c r="J6" s="82">
        <f>+H5*I5+H10*I10+H16*I16+H21*I21</f>
        <v>0.95677083327449997</v>
      </c>
      <c r="L6" s="354" t="s">
        <v>1785</v>
      </c>
    </row>
    <row r="7" spans="2:12" ht="15.75" customHeight="1" x14ac:dyDescent="0.25">
      <c r="B7" s="375"/>
      <c r="C7" s="378"/>
      <c r="D7" s="88" t="str">
        <f>+IFT!C40</f>
        <v>ALMACENAMIENTO Y MANIPULEO</v>
      </c>
      <c r="E7" s="83"/>
      <c r="F7" s="122">
        <f>+IFT!F40</f>
        <v>0.91000000000000014</v>
      </c>
      <c r="H7" s="362"/>
      <c r="I7" s="362"/>
      <c r="J7" s="313" t="str">
        <f>+ROUND(J6*100,1)&amp;"%"&amp;" "&amp;D39</f>
        <v>95,7% PROACTIVO</v>
      </c>
    </row>
    <row r="8" spans="2:12" ht="15.75" customHeight="1" x14ac:dyDescent="0.25">
      <c r="B8" s="375"/>
      <c r="C8" s="378"/>
      <c r="D8" s="88" t="str">
        <f>+IFT!C58</f>
        <v>TRANSPORTE Y REPARTO</v>
      </c>
      <c r="E8" s="83"/>
      <c r="F8" s="122">
        <f>+IFT!F58</f>
        <v>1</v>
      </c>
      <c r="H8" s="362"/>
      <c r="I8" s="362"/>
      <c r="J8" t="s">
        <v>1646</v>
      </c>
      <c r="L8" s="82">
        <f>VLOOKUP(L6,[3]Gantt!$E$3:$AG$31,29,0)</f>
        <v>0.96830000000000005</v>
      </c>
    </row>
    <row r="9" spans="2:12" ht="15.75" customHeight="1" thickBot="1" x14ac:dyDescent="0.3">
      <c r="B9" s="376"/>
      <c r="C9" s="379"/>
      <c r="D9" s="89" t="str">
        <f>+IFT!C61</f>
        <v>INFORMACIÓN Y COMUNICACIONES</v>
      </c>
      <c r="E9" s="83"/>
      <c r="F9" s="123">
        <f>+IFT!F61</f>
        <v>1</v>
      </c>
      <c r="H9" s="363"/>
      <c r="I9" s="363"/>
      <c r="L9" s="314" t="str">
        <f>IFERROR(IF(ROUND((J6-L8)*100,1)&lt;0,"-"&amp;ROUND((J6-L8)*100,1)&amp;" pp vs AA","+"&amp;ROUND((J6-L8)*100,1)&amp;" pp vs AA"),"N/A")</f>
        <v>--1,2 pp vs AA</v>
      </c>
    </row>
    <row r="10" spans="2:12" ht="16.5" customHeight="1" thickTop="1" x14ac:dyDescent="0.25">
      <c r="B10" s="368" t="s">
        <v>1639</v>
      </c>
      <c r="C10" s="380">
        <f>+PLG!O3</f>
        <v>0.25</v>
      </c>
      <c r="D10" s="87" t="str">
        <f>+PLG!C8</f>
        <v>ABASTECIMIENTO Y RECEPCIÓN</v>
      </c>
      <c r="E10" s="83"/>
      <c r="F10" s="121">
        <f>+PLG!F8</f>
        <v>1.0000000000000002</v>
      </c>
      <c r="H10" s="364">
        <f>+PLG!F3</f>
        <v>0.96000000000000008</v>
      </c>
      <c r="I10" s="364">
        <f>+'Dashboard Gral (2.0)'!C10</f>
        <v>0.25</v>
      </c>
    </row>
    <row r="11" spans="2:12" ht="16.5" customHeight="1" x14ac:dyDescent="0.25">
      <c r="B11" s="369"/>
      <c r="C11" s="381"/>
      <c r="D11" s="88" t="str">
        <f>+PLG!C18</f>
        <v>ALMACENAMIENTO Y MANIPULEO</v>
      </c>
      <c r="E11" s="83"/>
      <c r="F11" s="122">
        <f>+PLG!F18</f>
        <v>0.74999999999999989</v>
      </c>
      <c r="H11" s="365"/>
      <c r="I11" s="365"/>
    </row>
    <row r="12" spans="2:12" ht="15.75" customHeight="1" x14ac:dyDescent="0.25">
      <c r="B12" s="369"/>
      <c r="C12" s="381"/>
      <c r="D12" s="88" t="str">
        <f>+PLG!C28</f>
        <v>REPOSICION INVENTARIOS</v>
      </c>
      <c r="E12" s="83"/>
      <c r="F12" s="122">
        <f>+PLG!F28</f>
        <v>1</v>
      </c>
      <c r="H12" s="365"/>
      <c r="I12" s="365"/>
    </row>
    <row r="13" spans="2:12" ht="15.75" customHeight="1" x14ac:dyDescent="0.25">
      <c r="B13" s="369"/>
      <c r="C13" s="381"/>
      <c r="D13" s="88" t="str">
        <f>+PLG!C36</f>
        <v>CONSOLIDADOS Y PEDIDOS</v>
      </c>
      <c r="E13" s="83"/>
      <c r="F13" s="122">
        <f>+PLG!F36</f>
        <v>1</v>
      </c>
      <c r="H13" s="365"/>
      <c r="I13" s="365"/>
    </row>
    <row r="14" spans="2:12" ht="15.75" customHeight="1" x14ac:dyDescent="0.25">
      <c r="B14" s="369"/>
      <c r="C14" s="381"/>
      <c r="D14" s="88" t="str">
        <f>+PLG!C48</f>
        <v>TRANSPORTE Y REPARTO</v>
      </c>
      <c r="E14" s="83"/>
      <c r="F14" s="122">
        <f>+PLG!F48</f>
        <v>0.85</v>
      </c>
      <c r="H14" s="365"/>
      <c r="I14" s="365"/>
    </row>
    <row r="15" spans="2:12" ht="15.75" customHeight="1" thickBot="1" x14ac:dyDescent="0.3">
      <c r="B15" s="370"/>
      <c r="C15" s="382"/>
      <c r="D15" s="89" t="str">
        <f>+PLG!C56</f>
        <v>RETORNO Y/O DEVOLUCIONES</v>
      </c>
      <c r="E15" s="306"/>
      <c r="F15" s="123">
        <f>+PLG!F56</f>
        <v>1</v>
      </c>
      <c r="H15" s="366"/>
      <c r="I15" s="366"/>
    </row>
    <row r="16" spans="2:12" ht="16.5" customHeight="1" thickTop="1" x14ac:dyDescent="0.25">
      <c r="B16" s="374" t="s">
        <v>1641</v>
      </c>
      <c r="C16" s="377">
        <f>+GST!O3</f>
        <v>0.2</v>
      </c>
      <c r="D16" s="87" t="str">
        <f>+GST!C8</f>
        <v>ORGANIZACIÓN</v>
      </c>
      <c r="E16" s="83"/>
      <c r="F16" s="122">
        <f>+GST!F8</f>
        <v>0.99999999999999967</v>
      </c>
      <c r="H16" s="361">
        <f>+GST!F3</f>
        <v>0.95799999999999985</v>
      </c>
      <c r="I16" s="361">
        <f>+'Dashboard Gral (2.0)'!C16</f>
        <v>0.2</v>
      </c>
    </row>
    <row r="17" spans="2:9" ht="16.5" customHeight="1" x14ac:dyDescent="0.25">
      <c r="B17" s="375"/>
      <c r="C17" s="378"/>
      <c r="D17" s="88" t="str">
        <f>+GST!C31</f>
        <v>PLANIFICACION</v>
      </c>
      <c r="E17" s="83"/>
      <c r="F17" s="122">
        <f>+GST!F31</f>
        <v>1</v>
      </c>
      <c r="H17" s="362"/>
      <c r="I17" s="362"/>
    </row>
    <row r="18" spans="2:9" ht="15.75" customHeight="1" x14ac:dyDescent="0.25">
      <c r="B18" s="375"/>
      <c r="C18" s="378"/>
      <c r="D18" s="88" t="str">
        <f>+GST!C42</f>
        <v>INFORMACION Y COMUNICACIONES</v>
      </c>
      <c r="E18" s="83"/>
      <c r="F18" s="122">
        <f>+GST!F42</f>
        <v>0.99999999999999989</v>
      </c>
      <c r="H18" s="362"/>
      <c r="I18" s="362"/>
    </row>
    <row r="19" spans="2:9" ht="15.75" customHeight="1" x14ac:dyDescent="0.25">
      <c r="B19" s="375"/>
      <c r="C19" s="378"/>
      <c r="D19" s="88" t="str">
        <f>+GST!C48</f>
        <v>FORMACION Y DESARROLLO</v>
      </c>
      <c r="E19" s="83"/>
      <c r="F19" s="122">
        <f>+GST!F48</f>
        <v>1</v>
      </c>
      <c r="H19" s="362"/>
      <c r="I19" s="362"/>
    </row>
    <row r="20" spans="2:9" ht="15.75" customHeight="1" thickBot="1" x14ac:dyDescent="0.3">
      <c r="B20" s="376"/>
      <c r="C20" s="379"/>
      <c r="D20" s="89" t="str">
        <f>+GST!C52</f>
        <v>MEDICION Y MEJORA</v>
      </c>
      <c r="E20" s="83"/>
      <c r="F20" s="123">
        <f>+GST!F52</f>
        <v>0.8600000000000001</v>
      </c>
      <c r="H20" s="363"/>
      <c r="I20" s="363"/>
    </row>
    <row r="21" spans="2:9" ht="16.5" customHeight="1" thickTop="1" x14ac:dyDescent="0.25">
      <c r="B21" s="368" t="s">
        <v>1640</v>
      </c>
      <c r="C21" s="371">
        <f>+IDP!O3</f>
        <v>0.3</v>
      </c>
      <c r="D21" s="87" t="str">
        <f>+IDP!C8</f>
        <v>ABASTECIMIENTO Y RECEPCIÓN</v>
      </c>
      <c r="E21" s="83"/>
      <c r="F21" s="121">
        <f>+IDP!F8</f>
        <v>1</v>
      </c>
      <c r="H21" s="364">
        <f>+IDP!F3</f>
        <v>0.97411111091499991</v>
      </c>
      <c r="I21" s="364">
        <f>+'Dashboard Gral (2.0)'!C21</f>
        <v>0.3</v>
      </c>
    </row>
    <row r="22" spans="2:9" ht="16.5" customHeight="1" x14ac:dyDescent="0.25">
      <c r="B22" s="369"/>
      <c r="C22" s="372"/>
      <c r="D22" s="88" t="str">
        <f>+IDP!C14</f>
        <v>ALMACENAMIENTO Y MANIPULEO</v>
      </c>
      <c r="E22" s="83"/>
      <c r="F22" s="122">
        <f>+IDP!F14</f>
        <v>0.94444444366000002</v>
      </c>
      <c r="H22" s="365"/>
      <c r="I22" s="365"/>
    </row>
    <row r="23" spans="2:9" ht="15.75" customHeight="1" x14ac:dyDescent="0.25">
      <c r="B23" s="369"/>
      <c r="C23" s="372"/>
      <c r="D23" s="88" t="str">
        <f>+IDP!C33</f>
        <v>TRANSPORTE Y REPARTO</v>
      </c>
      <c r="E23" s="83"/>
      <c r="F23" s="122">
        <f>+IDP!F33</f>
        <v>0.99999999999999989</v>
      </c>
      <c r="H23" s="365"/>
      <c r="I23" s="365"/>
    </row>
    <row r="24" spans="2:9" ht="15.75" customHeight="1" x14ac:dyDescent="0.25">
      <c r="B24" s="369"/>
      <c r="C24" s="372"/>
      <c r="D24" s="88" t="str">
        <f>+IDP!C42</f>
        <v>RETORNO Y/O DEVOLUCIONES</v>
      </c>
      <c r="E24" s="83"/>
      <c r="F24" s="122">
        <f>+IDP!F42</f>
        <v>1</v>
      </c>
      <c r="H24" s="365"/>
      <c r="I24" s="365"/>
    </row>
    <row r="25" spans="2:9" ht="15.75" customHeight="1" x14ac:dyDescent="0.25">
      <c r="B25" s="369"/>
      <c r="C25" s="372"/>
      <c r="D25" s="88" t="str">
        <f>+IDP!C49</f>
        <v>LIMPIEZA</v>
      </c>
      <c r="E25" s="83"/>
      <c r="F25" s="122">
        <f>+IDP!F49</f>
        <v>1</v>
      </c>
      <c r="H25" s="365"/>
      <c r="I25" s="365"/>
    </row>
    <row r="26" spans="2:9" ht="15.75" customHeight="1" thickBot="1" x14ac:dyDescent="0.3">
      <c r="B26" s="370"/>
      <c r="C26" s="373"/>
      <c r="D26" s="89" t="str">
        <f>+IDP!C58</f>
        <v>MANEJO INTEGRADO DE PLAGAS</v>
      </c>
      <c r="E26" s="306"/>
      <c r="F26" s="123">
        <f>+IDP!F58</f>
        <v>0.87999999999999989</v>
      </c>
      <c r="H26" s="366"/>
      <c r="I26" s="366"/>
    </row>
    <row r="27" spans="2:9" ht="16.5" thickTop="1" x14ac:dyDescent="0.25"/>
    <row r="31" spans="2:9" x14ac:dyDescent="0.25">
      <c r="B31" t="s">
        <v>868</v>
      </c>
    </row>
    <row r="32" spans="2:9" ht="18" x14ac:dyDescent="0.25">
      <c r="B32" s="12" t="s">
        <v>143</v>
      </c>
      <c r="C32" s="11"/>
      <c r="D32" s="10" t="s">
        <v>139</v>
      </c>
      <c r="F32" t="str">
        <f>+D33</f>
        <v>ACTIVO</v>
      </c>
      <c r="G32" s="86">
        <v>0.85</v>
      </c>
    </row>
    <row r="33" spans="1:22" ht="18" x14ac:dyDescent="0.25">
      <c r="B33" s="15" t="s">
        <v>144</v>
      </c>
      <c r="C33" s="14"/>
      <c r="D33" s="13" t="s">
        <v>138</v>
      </c>
      <c r="F33" t="str">
        <f t="shared" ref="F33:F34" si="0">+D34</f>
        <v>REACTIVO</v>
      </c>
      <c r="G33" s="86">
        <f>+G32</f>
        <v>0.85</v>
      </c>
      <c r="H33" s="86">
        <v>0.7</v>
      </c>
    </row>
    <row r="34" spans="1:22" ht="18" x14ac:dyDescent="0.25">
      <c r="B34" s="6" t="s">
        <v>145</v>
      </c>
      <c r="C34" s="7"/>
      <c r="D34" s="5" t="s">
        <v>140</v>
      </c>
      <c r="F34" t="str">
        <f t="shared" si="0"/>
        <v>INACTIVO</v>
      </c>
      <c r="G34" s="86">
        <f>+H33</f>
        <v>0.7</v>
      </c>
      <c r="H34" s="86">
        <v>0.5</v>
      </c>
    </row>
    <row r="35" spans="1:22" ht="18" x14ac:dyDescent="0.25">
      <c r="B35" s="6" t="s">
        <v>146</v>
      </c>
      <c r="C35" s="7"/>
      <c r="D35" s="5" t="s">
        <v>141</v>
      </c>
      <c r="F35" t="str">
        <f>+D35</f>
        <v>INACTIVO</v>
      </c>
      <c r="G35" s="86">
        <f>+H34</f>
        <v>0.5</v>
      </c>
      <c r="H35" s="86">
        <v>0</v>
      </c>
    </row>
    <row r="36" spans="1:22" ht="18" x14ac:dyDescent="0.25">
      <c r="B36" s="18" t="s">
        <v>147</v>
      </c>
      <c r="C36" s="17"/>
      <c r="D36" s="16" t="s">
        <v>142</v>
      </c>
      <c r="G36" s="86">
        <f>+H35</f>
        <v>0</v>
      </c>
      <c r="H36" s="86">
        <v>0</v>
      </c>
    </row>
    <row r="39" spans="1:22" x14ac:dyDescent="0.25">
      <c r="A39" t="s">
        <v>1661</v>
      </c>
      <c r="B39" s="93">
        <f>+J6</f>
        <v>0.95677083327449997</v>
      </c>
      <c r="D39" t="str">
        <f>IF(B39&gt;=G32,D32,IF(AND((B39&lt;G33),(B39&gt;=H33)),D33,IF(AND((B39&lt;G34),(B39&gt;=H34)),D34,D35)))</f>
        <v>PROACTIVO</v>
      </c>
    </row>
    <row r="40" spans="1:22" x14ac:dyDescent="0.25">
      <c r="B40" s="322"/>
      <c r="R40" s="321" t="s">
        <v>1649</v>
      </c>
      <c r="S40" s="367" t="s">
        <v>1657</v>
      </c>
      <c r="T40" s="367"/>
      <c r="U40" s="367" t="s">
        <v>1651</v>
      </c>
      <c r="V40" s="367"/>
    </row>
    <row r="41" spans="1:22" x14ac:dyDescent="0.25">
      <c r="A41" t="s">
        <v>1651</v>
      </c>
      <c r="B41">
        <f>+'Condicionales 2.0'!G19</f>
        <v>12</v>
      </c>
      <c r="D41" t="str">
        <f>+ROUND(B39*100,1)&amp;"%"&amp;" "&amp;D39</f>
        <v>95,7% PROACTIVO</v>
      </c>
      <c r="R41" s="323" t="s">
        <v>1650</v>
      </c>
      <c r="S41" s="324" t="s">
        <v>1654</v>
      </c>
      <c r="T41" s="325">
        <v>8.51</v>
      </c>
      <c r="U41" s="100">
        <v>12</v>
      </c>
      <c r="V41" s="100" t="s">
        <v>1653</v>
      </c>
    </row>
    <row r="42" spans="1:22" x14ac:dyDescent="0.25">
      <c r="A42" t="s">
        <v>1662</v>
      </c>
      <c r="B42" s="328" t="str">
        <f>VLOOKUP($D$39&amp;$B$41,$K$48:$L$96,2,0)</f>
        <v>PROACTIVO</v>
      </c>
      <c r="R42" s="323"/>
      <c r="S42" s="324"/>
      <c r="T42" s="325"/>
      <c r="U42" s="100"/>
      <c r="V42" s="100"/>
    </row>
    <row r="43" spans="1:22" x14ac:dyDescent="0.25">
      <c r="B43" s="3" t="str">
        <f>IF(D39=B42,"Mantiene Estadio","Cae de Estadio")</f>
        <v>Mantiene Estadio</v>
      </c>
      <c r="D43" t="str">
        <f>+"Estadio final 2025: "&amp;B42</f>
        <v>Estadio final 2025: PROACTIVO</v>
      </c>
      <c r="R43" s="323" t="s">
        <v>1652</v>
      </c>
      <c r="S43" s="324" t="s">
        <v>1654</v>
      </c>
      <c r="T43" s="325">
        <v>8.51</v>
      </c>
      <c r="U43" s="100">
        <v>9</v>
      </c>
      <c r="V43" s="100" t="str">
        <f>+S43</f>
        <v>Mayor / Igual</v>
      </c>
    </row>
    <row r="44" spans="1:22" x14ac:dyDescent="0.25">
      <c r="R44" s="323" t="s">
        <v>1652</v>
      </c>
      <c r="S44" s="324" t="s">
        <v>1654</v>
      </c>
      <c r="T44" s="325">
        <v>7.01</v>
      </c>
      <c r="U44" s="100">
        <v>11</v>
      </c>
      <c r="V44" s="100" t="str">
        <f>+S44</f>
        <v>Mayor / Igual</v>
      </c>
    </row>
    <row r="45" spans="1:22" x14ac:dyDescent="0.25">
      <c r="R45" s="323"/>
      <c r="S45" s="324"/>
      <c r="T45" s="325"/>
      <c r="U45" s="100"/>
      <c r="V45" s="100"/>
    </row>
    <row r="46" spans="1:22" x14ac:dyDescent="0.25">
      <c r="D46" s="3"/>
      <c r="R46" s="323" t="s">
        <v>1655</v>
      </c>
      <c r="S46" s="324" t="s">
        <v>1654</v>
      </c>
      <c r="T46" s="325">
        <v>8.51</v>
      </c>
      <c r="U46" s="100">
        <v>6</v>
      </c>
      <c r="V46" s="100" t="str">
        <f>+S46</f>
        <v>Mayor / Igual</v>
      </c>
    </row>
    <row r="47" spans="1:22" x14ac:dyDescent="0.25">
      <c r="D47" s="3"/>
      <c r="R47" s="323" t="s">
        <v>1655</v>
      </c>
      <c r="S47" s="324" t="s">
        <v>1654</v>
      </c>
      <c r="T47" s="325">
        <v>7.01</v>
      </c>
      <c r="U47" s="100">
        <v>9</v>
      </c>
      <c r="V47" s="100" t="str">
        <f>+S47</f>
        <v>Mayor / Igual</v>
      </c>
    </row>
    <row r="48" spans="1:22" x14ac:dyDescent="0.25">
      <c r="D48" s="3"/>
      <c r="I48" s="96" t="s">
        <v>1650</v>
      </c>
      <c r="J48" s="96">
        <v>12</v>
      </c>
      <c r="K48" t="str">
        <f>+I48&amp;J48</f>
        <v>Proactivo12</v>
      </c>
      <c r="L48" s="96" t="s">
        <v>139</v>
      </c>
      <c r="R48" s="323"/>
      <c r="S48" s="324"/>
      <c r="T48" s="325"/>
      <c r="U48" s="100"/>
      <c r="V48" s="100"/>
    </row>
    <row r="49" spans="9:22" x14ac:dyDescent="0.25">
      <c r="I49" s="96" t="s">
        <v>1650</v>
      </c>
      <c r="J49" s="96">
        <v>11</v>
      </c>
      <c r="K49" t="str">
        <f t="shared" ref="K49:K95" si="1">+I49&amp;J49</f>
        <v>Proactivo11</v>
      </c>
      <c r="L49" s="96" t="s">
        <v>138</v>
      </c>
      <c r="R49" s="323" t="s">
        <v>1656</v>
      </c>
      <c r="S49" s="324" t="s">
        <v>1654</v>
      </c>
      <c r="T49" s="325">
        <v>8.51</v>
      </c>
      <c r="U49" s="100">
        <v>6</v>
      </c>
      <c r="V49" s="100" t="s">
        <v>1658</v>
      </c>
    </row>
    <row r="50" spans="9:22" x14ac:dyDescent="0.25">
      <c r="I50" s="96" t="s">
        <v>1650</v>
      </c>
      <c r="J50" s="96">
        <v>10</v>
      </c>
      <c r="K50" t="str">
        <f t="shared" si="1"/>
        <v>Proactivo10</v>
      </c>
      <c r="L50" s="96" t="s">
        <v>138</v>
      </c>
      <c r="R50" s="323" t="s">
        <v>1656</v>
      </c>
      <c r="S50" s="324" t="s">
        <v>1654</v>
      </c>
      <c r="T50" s="325">
        <v>7.01</v>
      </c>
      <c r="U50" s="100">
        <v>9</v>
      </c>
      <c r="V50" s="100" t="s">
        <v>1658</v>
      </c>
    </row>
    <row r="51" spans="9:22" x14ac:dyDescent="0.25">
      <c r="I51" s="96" t="s">
        <v>1650</v>
      </c>
      <c r="J51" s="96">
        <v>9</v>
      </c>
      <c r="K51" t="str">
        <f t="shared" si="1"/>
        <v>Proactivo9</v>
      </c>
      <c r="L51" s="96" t="s">
        <v>138</v>
      </c>
      <c r="R51" s="323" t="s">
        <v>1656</v>
      </c>
      <c r="S51" s="324" t="s">
        <v>1654</v>
      </c>
      <c r="T51" s="325">
        <v>5.01</v>
      </c>
      <c r="U51" s="100">
        <v>12</v>
      </c>
      <c r="V51" s="100" t="s">
        <v>1658</v>
      </c>
    </row>
    <row r="52" spans="9:22" x14ac:dyDescent="0.25">
      <c r="I52" s="96" t="s">
        <v>1650</v>
      </c>
      <c r="J52" s="96">
        <v>8</v>
      </c>
      <c r="K52" t="str">
        <f t="shared" si="1"/>
        <v>Proactivo8</v>
      </c>
      <c r="L52" s="96" t="s">
        <v>138</v>
      </c>
      <c r="R52" s="3"/>
      <c r="S52" s="3"/>
      <c r="T52" s="3"/>
      <c r="U52" s="3"/>
      <c r="V52" s="3"/>
    </row>
    <row r="53" spans="9:22" x14ac:dyDescent="0.25">
      <c r="I53" s="96" t="s">
        <v>1650</v>
      </c>
      <c r="J53" s="96">
        <v>7</v>
      </c>
      <c r="K53" t="str">
        <f t="shared" si="1"/>
        <v>Proactivo7</v>
      </c>
      <c r="L53" s="96" t="s">
        <v>140</v>
      </c>
    </row>
    <row r="54" spans="9:22" x14ac:dyDescent="0.25">
      <c r="I54" s="96" t="s">
        <v>1650</v>
      </c>
      <c r="J54" s="96">
        <v>6</v>
      </c>
      <c r="K54" t="str">
        <f t="shared" si="1"/>
        <v>Proactivo6</v>
      </c>
      <c r="L54" s="96" t="s">
        <v>140</v>
      </c>
    </row>
    <row r="55" spans="9:22" x14ac:dyDescent="0.25">
      <c r="I55" s="96" t="s">
        <v>1650</v>
      </c>
      <c r="J55" s="96">
        <v>5</v>
      </c>
      <c r="K55" t="str">
        <f t="shared" si="1"/>
        <v>Proactivo5</v>
      </c>
      <c r="L55" s="96" t="s">
        <v>140</v>
      </c>
    </row>
    <row r="56" spans="9:22" x14ac:dyDescent="0.25">
      <c r="I56" s="96" t="s">
        <v>1650</v>
      </c>
      <c r="J56" s="96">
        <v>4</v>
      </c>
      <c r="K56" t="str">
        <f t="shared" si="1"/>
        <v>Proactivo4</v>
      </c>
      <c r="L56" s="96" t="s">
        <v>140</v>
      </c>
    </row>
    <row r="57" spans="9:22" x14ac:dyDescent="0.25">
      <c r="I57" s="96" t="s">
        <v>1650</v>
      </c>
      <c r="J57" s="96">
        <v>3</v>
      </c>
      <c r="K57" t="str">
        <f t="shared" si="1"/>
        <v>Proactivo3</v>
      </c>
      <c r="L57" s="96" t="s">
        <v>140</v>
      </c>
    </row>
    <row r="58" spans="9:22" x14ac:dyDescent="0.25">
      <c r="I58" s="96" t="s">
        <v>1650</v>
      </c>
      <c r="J58" s="96">
        <v>2</v>
      </c>
      <c r="K58" t="str">
        <f t="shared" si="1"/>
        <v>Proactivo2</v>
      </c>
      <c r="L58" s="96" t="s">
        <v>140</v>
      </c>
    </row>
    <row r="59" spans="9:22" x14ac:dyDescent="0.25">
      <c r="I59" s="96" t="s">
        <v>1650</v>
      </c>
      <c r="J59" s="96">
        <v>1</v>
      </c>
      <c r="K59" t="str">
        <f t="shared" si="1"/>
        <v>Proactivo1</v>
      </c>
      <c r="L59" s="96" t="s">
        <v>140</v>
      </c>
    </row>
    <row r="60" spans="9:22" x14ac:dyDescent="0.25">
      <c r="I60" s="96" t="s">
        <v>1652</v>
      </c>
      <c r="J60" s="96">
        <v>12</v>
      </c>
      <c r="K60" t="str">
        <f t="shared" si="1"/>
        <v>Activo12</v>
      </c>
      <c r="L60" s="96" t="s">
        <v>138</v>
      </c>
    </row>
    <row r="61" spans="9:22" x14ac:dyDescent="0.25">
      <c r="I61" s="96" t="s">
        <v>1652</v>
      </c>
      <c r="J61" s="96">
        <v>11</v>
      </c>
      <c r="K61" t="str">
        <f t="shared" si="1"/>
        <v>Activo11</v>
      </c>
      <c r="L61" s="96" t="s">
        <v>138</v>
      </c>
    </row>
    <row r="62" spans="9:22" x14ac:dyDescent="0.25">
      <c r="I62" s="96" t="s">
        <v>1652</v>
      </c>
      <c r="J62" s="96">
        <v>10</v>
      </c>
      <c r="K62" t="str">
        <f t="shared" si="1"/>
        <v>Activo10</v>
      </c>
      <c r="L62" s="96" t="s">
        <v>138</v>
      </c>
    </row>
    <row r="63" spans="9:22" x14ac:dyDescent="0.25">
      <c r="I63" s="96" t="s">
        <v>1652</v>
      </c>
      <c r="J63" s="96">
        <v>9</v>
      </c>
      <c r="K63" t="str">
        <f t="shared" si="1"/>
        <v>Activo9</v>
      </c>
      <c r="L63" s="96" t="s">
        <v>138</v>
      </c>
    </row>
    <row r="64" spans="9:22" x14ac:dyDescent="0.25">
      <c r="I64" s="96" t="s">
        <v>1652</v>
      </c>
      <c r="J64" s="96">
        <v>8</v>
      </c>
      <c r="K64" t="str">
        <f t="shared" si="1"/>
        <v>Activo8</v>
      </c>
      <c r="L64" s="96" t="s">
        <v>138</v>
      </c>
    </row>
    <row r="65" spans="9:12" x14ac:dyDescent="0.25">
      <c r="I65" s="96" t="s">
        <v>1652</v>
      </c>
      <c r="J65" s="96">
        <v>7</v>
      </c>
      <c r="K65" t="str">
        <f t="shared" si="1"/>
        <v>Activo7</v>
      </c>
      <c r="L65" s="96" t="s">
        <v>140</v>
      </c>
    </row>
    <row r="66" spans="9:12" x14ac:dyDescent="0.25">
      <c r="I66" s="96" t="s">
        <v>1652</v>
      </c>
      <c r="J66" s="96">
        <v>6</v>
      </c>
      <c r="K66" t="str">
        <f t="shared" si="1"/>
        <v>Activo6</v>
      </c>
      <c r="L66" s="96" t="s">
        <v>140</v>
      </c>
    </row>
    <row r="67" spans="9:12" x14ac:dyDescent="0.25">
      <c r="I67" s="96" t="s">
        <v>1652</v>
      </c>
      <c r="J67" s="96">
        <v>5</v>
      </c>
      <c r="K67" t="str">
        <f t="shared" si="1"/>
        <v>Activo5</v>
      </c>
      <c r="L67" s="96" t="s">
        <v>141</v>
      </c>
    </row>
    <row r="68" spans="9:12" x14ac:dyDescent="0.25">
      <c r="I68" s="96" t="s">
        <v>1652</v>
      </c>
      <c r="J68" s="96">
        <v>4</v>
      </c>
      <c r="K68" t="str">
        <f t="shared" si="1"/>
        <v>Activo4</v>
      </c>
      <c r="L68" s="96" t="s">
        <v>141</v>
      </c>
    </row>
    <row r="69" spans="9:12" x14ac:dyDescent="0.25">
      <c r="I69" s="96" t="s">
        <v>1652</v>
      </c>
      <c r="J69" s="96">
        <v>3</v>
      </c>
      <c r="K69" t="str">
        <f t="shared" si="1"/>
        <v>Activo3</v>
      </c>
      <c r="L69" s="96" t="s">
        <v>141</v>
      </c>
    </row>
    <row r="70" spans="9:12" x14ac:dyDescent="0.25">
      <c r="I70" s="96" t="s">
        <v>1652</v>
      </c>
      <c r="J70" s="96">
        <v>2</v>
      </c>
      <c r="K70" t="str">
        <f t="shared" si="1"/>
        <v>Activo2</v>
      </c>
      <c r="L70" s="96" t="s">
        <v>141</v>
      </c>
    </row>
    <row r="71" spans="9:12" x14ac:dyDescent="0.25">
      <c r="I71" s="96" t="s">
        <v>1652</v>
      </c>
      <c r="J71" s="96">
        <v>1</v>
      </c>
      <c r="K71" t="str">
        <f t="shared" si="1"/>
        <v>Activo1</v>
      </c>
      <c r="L71" s="96" t="s">
        <v>141</v>
      </c>
    </row>
    <row r="72" spans="9:12" x14ac:dyDescent="0.25">
      <c r="I72" s="96" t="s">
        <v>1655</v>
      </c>
      <c r="J72" s="96">
        <v>12</v>
      </c>
      <c r="K72" t="str">
        <f t="shared" si="1"/>
        <v>Reactivo12</v>
      </c>
      <c r="L72" s="96" t="s">
        <v>140</v>
      </c>
    </row>
    <row r="73" spans="9:12" x14ac:dyDescent="0.25">
      <c r="I73" s="96" t="s">
        <v>1655</v>
      </c>
      <c r="J73" s="96">
        <v>11</v>
      </c>
      <c r="K73" t="str">
        <f t="shared" si="1"/>
        <v>Reactivo11</v>
      </c>
      <c r="L73" s="96" t="s">
        <v>140</v>
      </c>
    </row>
    <row r="74" spans="9:12" x14ac:dyDescent="0.25">
      <c r="I74" s="96" t="s">
        <v>1655</v>
      </c>
      <c r="J74" s="96">
        <v>10</v>
      </c>
      <c r="K74" t="str">
        <f t="shared" si="1"/>
        <v>Reactivo10</v>
      </c>
      <c r="L74" s="96" t="s">
        <v>140</v>
      </c>
    </row>
    <row r="75" spans="9:12" x14ac:dyDescent="0.25">
      <c r="I75" s="96" t="s">
        <v>1655</v>
      </c>
      <c r="J75" s="96">
        <v>9</v>
      </c>
      <c r="K75" t="str">
        <f t="shared" si="1"/>
        <v>Reactivo9</v>
      </c>
      <c r="L75" s="96" t="s">
        <v>140</v>
      </c>
    </row>
    <row r="76" spans="9:12" x14ac:dyDescent="0.25">
      <c r="I76" s="96" t="s">
        <v>1655</v>
      </c>
      <c r="J76" s="96">
        <v>8</v>
      </c>
      <c r="K76" t="str">
        <f t="shared" si="1"/>
        <v>Reactivo8</v>
      </c>
      <c r="L76" s="96" t="s">
        <v>140</v>
      </c>
    </row>
    <row r="77" spans="9:12" x14ac:dyDescent="0.25">
      <c r="I77" s="96" t="s">
        <v>1655</v>
      </c>
      <c r="J77" s="96">
        <v>7</v>
      </c>
      <c r="K77" t="str">
        <f t="shared" si="1"/>
        <v>Reactivo7</v>
      </c>
      <c r="L77" s="96" t="s">
        <v>140</v>
      </c>
    </row>
    <row r="78" spans="9:12" x14ac:dyDescent="0.25">
      <c r="I78" s="96" t="s">
        <v>1655</v>
      </c>
      <c r="J78" s="96">
        <v>6</v>
      </c>
      <c r="K78" t="str">
        <f t="shared" si="1"/>
        <v>Reactivo6</v>
      </c>
      <c r="L78" s="96" t="s">
        <v>140</v>
      </c>
    </row>
    <row r="79" spans="9:12" x14ac:dyDescent="0.25">
      <c r="I79" s="96" t="s">
        <v>1655</v>
      </c>
      <c r="J79" s="96">
        <v>5</v>
      </c>
      <c r="K79" t="str">
        <f t="shared" si="1"/>
        <v>Reactivo5</v>
      </c>
      <c r="L79" s="96" t="s">
        <v>141</v>
      </c>
    </row>
    <row r="80" spans="9:12" x14ac:dyDescent="0.25">
      <c r="I80" s="96" t="s">
        <v>1655</v>
      </c>
      <c r="J80" s="96">
        <v>4</v>
      </c>
      <c r="K80" t="str">
        <f t="shared" si="1"/>
        <v>Reactivo4</v>
      </c>
      <c r="L80" s="96" t="s">
        <v>141</v>
      </c>
    </row>
    <row r="81" spans="9:12" x14ac:dyDescent="0.25">
      <c r="I81" s="96" t="s">
        <v>1655</v>
      </c>
      <c r="J81" s="96">
        <v>3</v>
      </c>
      <c r="K81" t="str">
        <f t="shared" si="1"/>
        <v>Reactivo3</v>
      </c>
      <c r="L81" s="96" t="s">
        <v>141</v>
      </c>
    </row>
    <row r="82" spans="9:12" x14ac:dyDescent="0.25">
      <c r="I82" s="96" t="s">
        <v>1655</v>
      </c>
      <c r="J82" s="96">
        <v>2</v>
      </c>
      <c r="K82" t="str">
        <f t="shared" si="1"/>
        <v>Reactivo2</v>
      </c>
      <c r="L82" s="96" t="s">
        <v>141</v>
      </c>
    </row>
    <row r="83" spans="9:12" x14ac:dyDescent="0.25">
      <c r="I83" s="96" t="s">
        <v>1655</v>
      </c>
      <c r="J83" s="96">
        <v>1</v>
      </c>
      <c r="K83" t="str">
        <f t="shared" si="1"/>
        <v>Reactivo1</v>
      </c>
      <c r="L83" s="96" t="s">
        <v>141</v>
      </c>
    </row>
    <row r="84" spans="9:12" x14ac:dyDescent="0.25">
      <c r="I84" s="96" t="s">
        <v>1656</v>
      </c>
      <c r="J84" s="96">
        <v>12</v>
      </c>
      <c r="K84" t="str">
        <f t="shared" si="1"/>
        <v>Inactivo12</v>
      </c>
      <c r="L84" s="96" t="s">
        <v>141</v>
      </c>
    </row>
    <row r="85" spans="9:12" x14ac:dyDescent="0.25">
      <c r="I85" s="96" t="s">
        <v>1656</v>
      </c>
      <c r="J85" s="96">
        <v>11</v>
      </c>
      <c r="K85" t="str">
        <f t="shared" si="1"/>
        <v>Inactivo11</v>
      </c>
      <c r="L85" s="96" t="s">
        <v>141</v>
      </c>
    </row>
    <row r="86" spans="9:12" x14ac:dyDescent="0.25">
      <c r="I86" s="96" t="s">
        <v>1656</v>
      </c>
      <c r="J86" s="96">
        <v>10</v>
      </c>
      <c r="K86" t="str">
        <f t="shared" si="1"/>
        <v>Inactivo10</v>
      </c>
      <c r="L86" s="96" t="s">
        <v>141</v>
      </c>
    </row>
    <row r="87" spans="9:12" ht="15.75" customHeight="1" x14ac:dyDescent="0.25">
      <c r="I87" s="96" t="s">
        <v>1656</v>
      </c>
      <c r="J87" s="96">
        <v>9</v>
      </c>
      <c r="K87" t="str">
        <f t="shared" si="1"/>
        <v>Inactivo9</v>
      </c>
      <c r="L87" s="96" t="s">
        <v>141</v>
      </c>
    </row>
    <row r="88" spans="9:12" x14ac:dyDescent="0.25">
      <c r="I88" s="96" t="s">
        <v>1656</v>
      </c>
      <c r="J88" s="96">
        <v>8</v>
      </c>
      <c r="K88" t="str">
        <f t="shared" si="1"/>
        <v>Inactivo8</v>
      </c>
      <c r="L88" s="96" t="s">
        <v>141</v>
      </c>
    </row>
    <row r="89" spans="9:12" x14ac:dyDescent="0.25">
      <c r="I89" s="96" t="s">
        <v>1656</v>
      </c>
      <c r="J89" s="96">
        <v>7</v>
      </c>
      <c r="K89" t="str">
        <f t="shared" si="1"/>
        <v>Inactivo7</v>
      </c>
      <c r="L89" s="96" t="s">
        <v>141</v>
      </c>
    </row>
    <row r="90" spans="9:12" x14ac:dyDescent="0.25">
      <c r="I90" s="96" t="s">
        <v>1656</v>
      </c>
      <c r="J90" s="96">
        <v>6</v>
      </c>
      <c r="K90" t="str">
        <f t="shared" si="1"/>
        <v>Inactivo6</v>
      </c>
      <c r="L90" s="96" t="s">
        <v>141</v>
      </c>
    </row>
    <row r="91" spans="9:12" x14ac:dyDescent="0.25">
      <c r="I91" s="96" t="s">
        <v>1656</v>
      </c>
      <c r="J91" s="96">
        <v>5</v>
      </c>
      <c r="K91" t="str">
        <f t="shared" si="1"/>
        <v>Inactivo5</v>
      </c>
      <c r="L91" s="96" t="s">
        <v>141</v>
      </c>
    </row>
    <row r="92" spans="9:12" x14ac:dyDescent="0.25">
      <c r="I92" s="96" t="s">
        <v>1656</v>
      </c>
      <c r="J92" s="96">
        <v>4</v>
      </c>
      <c r="K92" t="str">
        <f t="shared" si="1"/>
        <v>Inactivo4</v>
      </c>
      <c r="L92" s="96" t="s">
        <v>141</v>
      </c>
    </row>
    <row r="93" spans="9:12" x14ac:dyDescent="0.25">
      <c r="I93" s="96" t="s">
        <v>1656</v>
      </c>
      <c r="J93" s="96">
        <v>3</v>
      </c>
      <c r="K93" t="str">
        <f t="shared" si="1"/>
        <v>Inactivo3</v>
      </c>
      <c r="L93" s="96" t="s">
        <v>141</v>
      </c>
    </row>
    <row r="94" spans="9:12" x14ac:dyDescent="0.25">
      <c r="I94" s="96" t="s">
        <v>1656</v>
      </c>
      <c r="J94" s="96">
        <v>2</v>
      </c>
      <c r="K94" t="str">
        <f t="shared" si="1"/>
        <v>Inactivo2</v>
      </c>
      <c r="L94" s="96" t="s">
        <v>141</v>
      </c>
    </row>
    <row r="95" spans="9:12" x14ac:dyDescent="0.25">
      <c r="I95" s="96" t="s">
        <v>1656</v>
      </c>
      <c r="J95" s="96">
        <v>1</v>
      </c>
      <c r="K95" t="str">
        <f t="shared" si="1"/>
        <v>Inactivo1</v>
      </c>
      <c r="L95" s="96" t="s">
        <v>141</v>
      </c>
    </row>
    <row r="96" spans="9:12" x14ac:dyDescent="0.25">
      <c r="I96" s="96" t="s">
        <v>1656</v>
      </c>
      <c r="J96" s="96">
        <v>0</v>
      </c>
      <c r="K96" t="str">
        <f t="shared" ref="K96" si="2">+I96&amp;J96</f>
        <v>Inactivo0</v>
      </c>
      <c r="L96" s="96" t="s">
        <v>141</v>
      </c>
    </row>
  </sheetData>
  <autoFilter ref="B2:D26" xr:uid="{D1413E33-0658-4B04-A50E-0598FB68E492}"/>
  <mergeCells count="18">
    <mergeCell ref="B5:B9"/>
    <mergeCell ref="C5:C9"/>
    <mergeCell ref="H5:H9"/>
    <mergeCell ref="B10:B15"/>
    <mergeCell ref="C10:C15"/>
    <mergeCell ref="H10:H15"/>
    <mergeCell ref="U40:V40"/>
    <mergeCell ref="B21:B26"/>
    <mergeCell ref="C21:C26"/>
    <mergeCell ref="H21:H26"/>
    <mergeCell ref="B16:B20"/>
    <mergeCell ref="C16:C20"/>
    <mergeCell ref="H16:H20"/>
    <mergeCell ref="I5:I9"/>
    <mergeCell ref="I10:I15"/>
    <mergeCell ref="I16:I20"/>
    <mergeCell ref="I21:I26"/>
    <mergeCell ref="S40:T40"/>
  </mergeCells>
  <conditionalFormatting sqref="F5:F26">
    <cfRule type="dataBar" priority="1">
      <dataBar>
        <cfvo type="min"/>
        <cfvo type="max"/>
        <color rgb="FFFFB628"/>
      </dataBar>
      <extLst>
        <ext xmlns:x14="http://schemas.microsoft.com/office/spreadsheetml/2009/9/main" uri="{B025F937-C7B1-47D3-B67F-A62EFF666E3E}">
          <x14:id>{F670A3EE-2495-413E-88AE-52E96817F099}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670A3EE-2495-413E-88AE-52E96817F099}">
            <x14:dataBar minLength="0" maxLength="100" border="1" negativeBarBorderColorSameAsPositive="0">
              <x14:cfvo type="autoMin"/>
              <x14:cfvo type="autoMax"/>
              <x14:borderColor rgb="FFFFB628"/>
              <x14:negativeFillColor rgb="FFFF0000"/>
              <x14:negativeBorderColor rgb="FFFF0000"/>
              <x14:axisColor rgb="FF000000"/>
            </x14:dataBar>
          </x14:cfRule>
          <xm:sqref>F5:F26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2DCD6-1CD8-4658-ACD8-73B32E3ACEF4}">
  <sheetPr>
    <tabColor rgb="FFFFC000"/>
  </sheetPr>
  <dimension ref="A23"/>
  <sheetViews>
    <sheetView showGridLines="0" zoomScale="70" zoomScaleNormal="70" workbookViewId="0">
      <pane xSplit="17" ySplit="23" topLeftCell="R24" activePane="bottomRight" state="frozen"/>
      <selection pane="topRight" activeCell="R1" sqref="R1"/>
      <selection pane="bottomLeft" activeCell="A24" sqref="A24"/>
      <selection pane="bottomRight" activeCell="L20" sqref="L20"/>
    </sheetView>
  </sheetViews>
  <sheetFormatPr baseColWidth="10" defaultRowHeight="15.75" x14ac:dyDescent="0.25"/>
  <cols>
    <col min="17" max="17" width="11.125" customWidth="1"/>
  </cols>
  <sheetData>
    <row r="23" ht="27.75"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C8E3D-6EA2-498E-AD19-E619FA8478C1}">
  <sheetPr>
    <tabColor theme="2" tint="-0.89999084444715716"/>
  </sheetPr>
  <dimension ref="A1"/>
  <sheetViews>
    <sheetView showGridLines="0" workbookViewId="0">
      <selection activeCell="H11" sqref="H11"/>
    </sheetView>
  </sheetViews>
  <sheetFormatPr baseColWidth="10" defaultRowHeight="15.7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5EF71-4793-4848-B5C5-F1835C6AC2BE}">
  <sheetPr>
    <tabColor rgb="FF92D050"/>
  </sheetPr>
  <dimension ref="A1:AW52"/>
  <sheetViews>
    <sheetView showGridLines="0" showZeros="0" zoomScale="85" zoomScaleNormal="85" workbookViewId="0">
      <pane xSplit="22" ySplit="3" topLeftCell="W8" activePane="bottomRight" state="frozen"/>
      <selection pane="topRight" activeCell="Y1" sqref="Y1"/>
      <selection pane="bottomLeft" activeCell="A4" sqref="A4"/>
      <selection pane="bottomRight" activeCell="V11" sqref="V11"/>
    </sheetView>
  </sheetViews>
  <sheetFormatPr baseColWidth="10" defaultColWidth="11" defaultRowHeight="21" x14ac:dyDescent="0.25"/>
  <cols>
    <col min="1" max="1" width="1.125" customWidth="1"/>
    <col min="2" max="2" width="9.875" customWidth="1"/>
    <col min="3" max="3" width="6.75" customWidth="1"/>
    <col min="4" max="4" width="36.125" customWidth="1"/>
    <col min="5" max="6" width="0.75" customWidth="1"/>
    <col min="7" max="7" width="8.75" customWidth="1"/>
    <col min="8" max="8" width="0.75" customWidth="1"/>
    <col min="9" max="10" width="8.125" style="2" customWidth="1"/>
    <col min="11" max="11" width="1.25" customWidth="1"/>
    <col min="12" max="12" width="1.375" customWidth="1"/>
    <col min="15" max="15" width="9.25" customWidth="1"/>
    <col min="16" max="16" width="1.125" customWidth="1"/>
    <col min="17" max="17" width="11" style="2"/>
    <col min="20" max="20" width="3.125" customWidth="1"/>
    <col min="21" max="21" width="2.375" customWidth="1"/>
    <col min="22" max="22" width="17.75" customWidth="1"/>
  </cols>
  <sheetData>
    <row r="1" spans="1:49" x14ac:dyDescent="0.25">
      <c r="A1" s="83"/>
      <c r="B1" s="83"/>
      <c r="C1" s="83"/>
      <c r="D1" s="83"/>
      <c r="E1" s="83"/>
      <c r="F1" s="83"/>
      <c r="G1" s="83"/>
      <c r="H1" s="83"/>
      <c r="I1" s="84"/>
      <c r="J1" s="84"/>
      <c r="K1" s="83"/>
      <c r="L1" s="83"/>
      <c r="M1" s="83"/>
      <c r="N1" s="83"/>
      <c r="O1" s="83"/>
      <c r="P1" s="83"/>
      <c r="Q1" s="84"/>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row>
    <row r="2" spans="1:49" x14ac:dyDescent="0.25">
      <c r="A2" s="83"/>
      <c r="B2" s="83"/>
      <c r="C2" s="83"/>
      <c r="D2" s="83"/>
      <c r="E2" s="83"/>
      <c r="F2" s="83"/>
      <c r="G2" s="83"/>
      <c r="H2" s="83"/>
      <c r="I2" s="84"/>
      <c r="J2" s="84"/>
      <c r="K2" s="83"/>
      <c r="L2" s="83"/>
      <c r="M2" s="83"/>
      <c r="N2" s="83"/>
      <c r="O2" s="83"/>
      <c r="P2" s="83"/>
      <c r="Q2" s="84"/>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83"/>
    </row>
    <row r="3" spans="1:49" x14ac:dyDescent="0.25">
      <c r="A3" s="83"/>
      <c r="B3" s="83"/>
      <c r="C3" s="83"/>
      <c r="D3" s="83"/>
      <c r="E3" s="83"/>
      <c r="F3" s="83"/>
      <c r="G3" s="83"/>
      <c r="H3" s="83"/>
      <c r="I3" s="84"/>
      <c r="J3" s="84"/>
      <c r="K3" s="83"/>
      <c r="L3" s="83"/>
      <c r="M3" s="83"/>
      <c r="N3" s="83"/>
      <c r="O3" s="83"/>
      <c r="P3" s="83"/>
      <c r="Q3" s="84"/>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row>
    <row r="4" spans="1:49" ht="10.5" customHeight="1" thickBot="1" x14ac:dyDescent="0.3">
      <c r="A4" s="83"/>
      <c r="B4" s="83"/>
      <c r="C4" s="83"/>
      <c r="D4" s="83"/>
      <c r="E4" s="83"/>
      <c r="F4" s="83"/>
      <c r="G4" s="83"/>
      <c r="H4" s="83"/>
      <c r="I4" s="84"/>
      <c r="J4" s="84"/>
      <c r="K4" s="83"/>
      <c r="L4" s="90"/>
      <c r="M4" s="83"/>
      <c r="N4" s="83"/>
      <c r="O4" s="83"/>
      <c r="P4" s="83"/>
      <c r="Q4" s="84"/>
      <c r="R4" s="83"/>
      <c r="S4" s="83"/>
      <c r="T4" s="83"/>
      <c r="U4" s="90"/>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row>
    <row r="5" spans="1:49" ht="15.75" customHeight="1" thickTop="1" x14ac:dyDescent="0.25">
      <c r="A5" s="83"/>
      <c r="B5" s="374" t="s">
        <v>1638</v>
      </c>
      <c r="C5" s="377">
        <v>0.25</v>
      </c>
      <c r="D5" s="87" t="str">
        <f>+IFT!C8</f>
        <v>EMPLAZAMIENTO</v>
      </c>
      <c r="E5" s="83"/>
      <c r="F5" s="83"/>
      <c r="G5" s="121">
        <f>+IFT!F8</f>
        <v>0.94000000000000006</v>
      </c>
      <c r="H5" s="83"/>
      <c r="I5" s="395">
        <f>+IFT!F3</f>
        <v>0.93175000000000019</v>
      </c>
      <c r="J5" s="392">
        <f>+I5*C5</f>
        <v>0.23293750000000005</v>
      </c>
      <c r="K5" s="83"/>
      <c r="L5" s="90"/>
      <c r="M5" s="83"/>
      <c r="N5" s="83"/>
      <c r="O5" s="83"/>
      <c r="P5" s="83"/>
      <c r="Q5" s="84"/>
      <c r="R5" s="83"/>
      <c r="S5" s="83"/>
      <c r="T5" s="83"/>
      <c r="U5" s="90"/>
      <c r="V5" s="83"/>
      <c r="W5" s="83"/>
      <c r="X5" s="307"/>
      <c r="Y5" s="307"/>
      <c r="Z5" s="83"/>
      <c r="AA5" s="83"/>
      <c r="AB5" s="83"/>
      <c r="AC5" s="83"/>
      <c r="AD5" s="83"/>
      <c r="AE5" s="83"/>
      <c r="AF5" s="83"/>
      <c r="AG5" s="83"/>
      <c r="AH5" s="83"/>
      <c r="AI5" s="83"/>
      <c r="AJ5" s="83"/>
      <c r="AK5" s="83"/>
      <c r="AL5" s="83"/>
      <c r="AM5" s="83"/>
      <c r="AN5" s="83"/>
      <c r="AO5" s="83"/>
      <c r="AP5" s="83"/>
      <c r="AQ5" s="83"/>
      <c r="AR5" s="83"/>
      <c r="AS5" s="83"/>
      <c r="AT5" s="83"/>
      <c r="AU5" s="83"/>
      <c r="AV5" s="83"/>
      <c r="AW5" s="83"/>
    </row>
    <row r="6" spans="1:49" ht="15.75" customHeight="1" x14ac:dyDescent="0.25">
      <c r="A6" s="83"/>
      <c r="B6" s="375"/>
      <c r="C6" s="378"/>
      <c r="D6" s="88" t="str">
        <f>+IFT!C19</f>
        <v>EDIFICACION</v>
      </c>
      <c r="E6" s="83"/>
      <c r="F6" s="83"/>
      <c r="G6" s="122">
        <f>+IFT!F19</f>
        <v>0.92500000000000004</v>
      </c>
      <c r="H6" s="83"/>
      <c r="I6" s="396"/>
      <c r="J6" s="393"/>
      <c r="K6" s="83"/>
      <c r="L6" s="90"/>
      <c r="M6" s="83"/>
      <c r="N6" s="83"/>
      <c r="O6" s="83"/>
      <c r="P6" s="83"/>
      <c r="Q6" s="84"/>
      <c r="R6" s="83"/>
      <c r="S6" s="83"/>
      <c r="T6" s="83"/>
      <c r="U6" s="90"/>
      <c r="V6" s="83"/>
      <c r="W6" s="83"/>
      <c r="X6" s="307"/>
      <c r="Y6" s="307"/>
      <c r="Z6" s="83"/>
      <c r="AA6" s="83"/>
      <c r="AB6" s="83"/>
      <c r="AC6" s="83"/>
      <c r="AD6" s="83"/>
      <c r="AE6" s="83"/>
      <c r="AF6" s="83"/>
      <c r="AG6" s="83"/>
      <c r="AH6" s="83"/>
      <c r="AI6" s="83"/>
      <c r="AJ6" s="83"/>
      <c r="AK6" s="83"/>
      <c r="AL6" s="83"/>
      <c r="AM6" s="83"/>
      <c r="AN6" s="83"/>
      <c r="AO6" s="83"/>
      <c r="AP6" s="83"/>
      <c r="AQ6" s="83"/>
      <c r="AR6" s="83"/>
      <c r="AS6" s="83"/>
      <c r="AT6" s="83"/>
      <c r="AU6" s="83"/>
      <c r="AV6" s="83"/>
      <c r="AW6" s="83"/>
    </row>
    <row r="7" spans="1:49" ht="15.75" customHeight="1" x14ac:dyDescent="0.25">
      <c r="A7" s="83"/>
      <c r="B7" s="375"/>
      <c r="C7" s="378"/>
      <c r="D7" s="88" t="str">
        <f>+IFT!C40</f>
        <v>ALMACENAMIENTO Y MANIPULEO</v>
      </c>
      <c r="E7" s="83"/>
      <c r="F7" s="83"/>
      <c r="G7" s="122">
        <f>+IFT!F40</f>
        <v>0.91000000000000014</v>
      </c>
      <c r="H7" s="83"/>
      <c r="I7" s="396"/>
      <c r="J7" s="393"/>
      <c r="K7" s="83"/>
      <c r="L7" s="90"/>
      <c r="M7" s="83"/>
      <c r="N7" s="83"/>
      <c r="O7" s="83"/>
      <c r="P7" s="83"/>
      <c r="Q7" s="84"/>
      <c r="R7" s="83"/>
      <c r="S7" s="83"/>
      <c r="T7" s="83"/>
      <c r="U7" s="90"/>
      <c r="V7" s="83"/>
      <c r="W7" s="83"/>
      <c r="X7" s="307"/>
      <c r="Y7" s="307"/>
      <c r="Z7" s="83"/>
      <c r="AA7" s="83"/>
      <c r="AB7" s="83"/>
      <c r="AC7" s="83"/>
      <c r="AD7" s="83"/>
      <c r="AE7" s="83"/>
      <c r="AF7" s="307"/>
      <c r="AG7" s="83"/>
      <c r="AH7" s="83"/>
      <c r="AI7" s="83"/>
      <c r="AJ7" s="83"/>
      <c r="AK7" s="83"/>
      <c r="AL7" s="83"/>
      <c r="AM7" s="83"/>
      <c r="AN7" s="83"/>
      <c r="AO7" s="83"/>
      <c r="AP7" s="83"/>
      <c r="AQ7" s="83"/>
      <c r="AR7" s="83"/>
      <c r="AS7" s="83"/>
      <c r="AT7" s="83"/>
      <c r="AU7" s="83"/>
      <c r="AV7" s="83"/>
      <c r="AW7" s="83"/>
    </row>
    <row r="8" spans="1:49" ht="15.75" customHeight="1" x14ac:dyDescent="0.25">
      <c r="A8" s="83"/>
      <c r="B8" s="375"/>
      <c r="C8" s="378"/>
      <c r="D8" s="88" t="str">
        <f>+IFT!C58</f>
        <v>TRANSPORTE Y REPARTO</v>
      </c>
      <c r="E8" s="83"/>
      <c r="F8" s="83"/>
      <c r="G8" s="122">
        <f>+IFT!F58</f>
        <v>1</v>
      </c>
      <c r="H8" s="83"/>
      <c r="I8" s="396"/>
      <c r="J8" s="393"/>
      <c r="K8" s="83"/>
      <c r="L8" s="90"/>
      <c r="M8" s="83"/>
      <c r="N8" s="83"/>
      <c r="O8" s="85"/>
      <c r="P8" s="85"/>
      <c r="Q8" s="91"/>
      <c r="R8" s="85"/>
      <c r="S8" s="85"/>
      <c r="T8" s="85"/>
      <c r="U8" s="90"/>
      <c r="V8" s="83"/>
      <c r="W8" s="83"/>
      <c r="X8" s="307"/>
      <c r="Y8" s="307"/>
      <c r="Z8" s="83"/>
      <c r="AA8" s="83"/>
      <c r="AB8" s="83"/>
      <c r="AC8" s="83"/>
      <c r="AD8" s="83"/>
      <c r="AE8" s="83"/>
      <c r="AF8" s="83"/>
      <c r="AG8" s="83"/>
      <c r="AH8" s="83"/>
      <c r="AI8" s="83"/>
      <c r="AJ8" s="83"/>
      <c r="AK8" s="83"/>
      <c r="AL8" s="83"/>
      <c r="AM8" s="83"/>
      <c r="AN8" s="83"/>
      <c r="AO8" s="83"/>
      <c r="AP8" s="83"/>
      <c r="AQ8" s="83"/>
      <c r="AR8" s="83"/>
      <c r="AS8" s="83"/>
      <c r="AT8" s="83"/>
      <c r="AU8" s="83"/>
      <c r="AV8" s="83"/>
      <c r="AW8" s="83"/>
    </row>
    <row r="9" spans="1:49" ht="15.75" customHeight="1" thickBot="1" x14ac:dyDescent="0.3">
      <c r="A9" s="83"/>
      <c r="B9" s="376"/>
      <c r="C9" s="379"/>
      <c r="D9" s="89" t="str">
        <f>+IFT!C61</f>
        <v>INFORMACIÓN Y COMUNICACIONES</v>
      </c>
      <c r="E9" s="83"/>
      <c r="F9" s="83"/>
      <c r="G9" s="123">
        <f>+IFT!F61</f>
        <v>1</v>
      </c>
      <c r="H9" s="83"/>
      <c r="I9" s="397"/>
      <c r="J9" s="394"/>
      <c r="K9" s="83"/>
      <c r="L9" s="90"/>
      <c r="M9" s="83"/>
      <c r="N9" s="83"/>
      <c r="O9" s="85"/>
      <c r="P9" s="85"/>
      <c r="Q9" s="91"/>
      <c r="R9" s="85"/>
      <c r="S9" s="85"/>
      <c r="T9" s="85"/>
      <c r="U9" s="90"/>
      <c r="V9" s="83"/>
      <c r="W9" s="83"/>
      <c r="X9" s="307"/>
      <c r="Y9" s="307"/>
      <c r="Z9" s="83"/>
      <c r="AA9" s="83"/>
      <c r="AB9" s="83"/>
      <c r="AC9" s="83"/>
      <c r="AD9" s="83"/>
      <c r="AE9" s="83"/>
      <c r="AF9" s="83"/>
      <c r="AG9" s="83"/>
      <c r="AH9" s="83"/>
      <c r="AI9" s="83"/>
      <c r="AJ9" s="83"/>
      <c r="AK9" s="83"/>
      <c r="AL9" s="83"/>
      <c r="AM9" s="83"/>
      <c r="AN9" s="83"/>
      <c r="AO9" s="83"/>
      <c r="AP9" s="83"/>
      <c r="AQ9" s="83"/>
      <c r="AR9" s="83"/>
      <c r="AS9" s="83"/>
      <c r="AT9" s="83"/>
      <c r="AU9" s="83"/>
      <c r="AV9" s="83"/>
      <c r="AW9" s="83"/>
    </row>
    <row r="10" spans="1:49" ht="15.75" customHeight="1" thickTop="1" x14ac:dyDescent="0.25">
      <c r="A10" s="83"/>
      <c r="B10" s="368" t="s">
        <v>1639</v>
      </c>
      <c r="C10" s="380">
        <v>0.25</v>
      </c>
      <c r="D10" s="87" t="str">
        <f>+PLG!C8</f>
        <v>ABASTECIMIENTO Y RECEPCIÓN</v>
      </c>
      <c r="E10" s="83"/>
      <c r="F10" s="83"/>
      <c r="G10" s="121">
        <f>+PLG!F8</f>
        <v>1.0000000000000002</v>
      </c>
      <c r="H10" s="83"/>
      <c r="I10" s="389">
        <f>+PLG!F3</f>
        <v>0.96000000000000008</v>
      </c>
      <c r="J10" s="383">
        <f>+I10*C10</f>
        <v>0.24000000000000002</v>
      </c>
      <c r="K10" s="83"/>
      <c r="L10" s="90"/>
      <c r="M10" s="83"/>
      <c r="N10" s="83"/>
      <c r="O10" s="83"/>
      <c r="P10" s="83"/>
      <c r="Q10" s="92"/>
      <c r="R10" s="83"/>
      <c r="S10" s="83"/>
      <c r="T10" s="92"/>
      <c r="U10" s="90"/>
      <c r="V10" s="83"/>
      <c r="W10" s="83"/>
      <c r="X10" s="307"/>
      <c r="Y10" s="307"/>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row>
    <row r="11" spans="1:49" ht="15.75" customHeight="1" x14ac:dyDescent="0.25">
      <c r="A11" s="83"/>
      <c r="B11" s="369"/>
      <c r="C11" s="381"/>
      <c r="D11" s="88" t="str">
        <f>+PLG!C18</f>
        <v>ALMACENAMIENTO Y MANIPULEO</v>
      </c>
      <c r="E11" s="83"/>
      <c r="F11" s="83"/>
      <c r="G11" s="122">
        <f>+PLG!F18</f>
        <v>0.74999999999999989</v>
      </c>
      <c r="H11" s="83"/>
      <c r="I11" s="390"/>
      <c r="J11" s="384"/>
      <c r="K11" s="83"/>
      <c r="L11" s="90"/>
      <c r="M11" s="83"/>
      <c r="N11" s="83"/>
      <c r="O11" s="83"/>
      <c r="P11" s="83"/>
      <c r="Q11" s="84"/>
      <c r="R11" s="83"/>
      <c r="S11" s="83"/>
      <c r="T11" s="83"/>
      <c r="U11" s="90"/>
      <c r="V11" s="83"/>
      <c r="W11" s="83"/>
      <c r="X11" s="307"/>
      <c r="Y11" s="307"/>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row>
    <row r="12" spans="1:49" ht="15.75" customHeight="1" x14ac:dyDescent="0.25">
      <c r="A12" s="83"/>
      <c r="B12" s="369"/>
      <c r="C12" s="381"/>
      <c r="D12" s="88" t="str">
        <f>+PLG!C28</f>
        <v>REPOSICION INVENTARIOS</v>
      </c>
      <c r="E12" s="83"/>
      <c r="F12" s="83"/>
      <c r="G12" s="122">
        <f>+PLG!F28</f>
        <v>1</v>
      </c>
      <c r="H12" s="83"/>
      <c r="I12" s="390"/>
      <c r="J12" s="384"/>
      <c r="K12" s="83"/>
      <c r="L12" s="90"/>
      <c r="M12" s="83"/>
      <c r="N12" s="83"/>
      <c r="O12" s="83"/>
      <c r="P12" s="83"/>
      <c r="Q12" s="84"/>
      <c r="R12" s="83"/>
      <c r="S12" s="83"/>
      <c r="T12" s="83"/>
      <c r="U12" s="90"/>
      <c r="V12" s="83"/>
      <c r="W12" s="83"/>
      <c r="X12" s="307"/>
      <c r="Y12" s="307"/>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row>
    <row r="13" spans="1:49" ht="15.75" customHeight="1" x14ac:dyDescent="0.25">
      <c r="A13" s="83"/>
      <c r="B13" s="369"/>
      <c r="C13" s="381"/>
      <c r="D13" s="88" t="str">
        <f>+PLG!C36</f>
        <v>CONSOLIDADOS Y PEDIDOS</v>
      </c>
      <c r="E13" s="83"/>
      <c r="F13" s="83"/>
      <c r="G13" s="122">
        <f>+PLG!F36</f>
        <v>1</v>
      </c>
      <c r="H13" s="83"/>
      <c r="I13" s="390"/>
      <c r="J13" s="384"/>
      <c r="K13" s="83"/>
      <c r="L13" s="90"/>
      <c r="M13" s="83"/>
      <c r="N13" s="83"/>
      <c r="O13" s="83"/>
      <c r="P13" s="83"/>
      <c r="Q13" s="83"/>
      <c r="R13" s="83"/>
      <c r="S13" s="83"/>
      <c r="T13" s="83"/>
      <c r="U13" s="90"/>
      <c r="V13" s="83"/>
      <c r="W13" s="83"/>
      <c r="X13" s="307"/>
      <c r="Y13" s="307"/>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row>
    <row r="14" spans="1:49" ht="15.75" customHeight="1" x14ac:dyDescent="0.25">
      <c r="A14" s="83"/>
      <c r="B14" s="369"/>
      <c r="C14" s="381"/>
      <c r="D14" s="88" t="str">
        <f>+PLG!C48</f>
        <v>TRANSPORTE Y REPARTO</v>
      </c>
      <c r="E14" s="83"/>
      <c r="F14" s="83"/>
      <c r="G14" s="122">
        <f>+PLG!F48</f>
        <v>0.85</v>
      </c>
      <c r="H14" s="83"/>
      <c r="I14" s="390"/>
      <c r="J14" s="384"/>
      <c r="K14" s="83"/>
      <c r="L14" s="90"/>
      <c r="M14" s="83"/>
      <c r="N14" s="83"/>
      <c r="O14" s="83"/>
      <c r="P14" s="83"/>
      <c r="Q14" s="83"/>
      <c r="R14" s="83"/>
      <c r="S14" s="83"/>
      <c r="T14" s="92"/>
      <c r="U14" s="90"/>
      <c r="V14" s="83"/>
      <c r="W14" s="83"/>
      <c r="X14" s="307"/>
      <c r="Y14" s="307"/>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row>
    <row r="15" spans="1:49" ht="15.75" customHeight="1" thickBot="1" x14ac:dyDescent="0.3">
      <c r="A15" s="83"/>
      <c r="B15" s="370"/>
      <c r="C15" s="382"/>
      <c r="D15" s="89" t="str">
        <f>+PLG!C56</f>
        <v>RETORNO Y/O DEVOLUCIONES</v>
      </c>
      <c r="E15" s="306"/>
      <c r="F15" s="306"/>
      <c r="G15" s="123">
        <f>+PLG!F56</f>
        <v>1</v>
      </c>
      <c r="H15" s="306"/>
      <c r="I15" s="391"/>
      <c r="J15" s="385"/>
      <c r="K15" s="83"/>
      <c r="L15" s="90"/>
      <c r="M15" s="83"/>
      <c r="N15" s="83"/>
      <c r="O15" s="83"/>
      <c r="P15" s="83"/>
      <c r="Q15" s="84"/>
      <c r="R15" s="83"/>
      <c r="S15" s="83"/>
      <c r="T15" s="83"/>
      <c r="U15" s="90"/>
      <c r="V15" s="83"/>
      <c r="W15" s="83"/>
      <c r="X15" s="307"/>
      <c r="Y15" s="307"/>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row>
    <row r="16" spans="1:49" ht="15.75" customHeight="1" thickTop="1" x14ac:dyDescent="0.25">
      <c r="A16" s="83"/>
      <c r="B16" s="374" t="s">
        <v>1641</v>
      </c>
      <c r="C16" s="377">
        <v>0.2</v>
      </c>
      <c r="D16" s="87" t="str">
        <f>+GST!C8</f>
        <v>ORGANIZACIÓN</v>
      </c>
      <c r="E16" s="83"/>
      <c r="F16" s="83"/>
      <c r="G16" s="122">
        <f>+GST!F8</f>
        <v>0.99999999999999967</v>
      </c>
      <c r="H16" s="83"/>
      <c r="I16" s="386">
        <f>+GST!F3</f>
        <v>0.95799999999999985</v>
      </c>
      <c r="J16" s="392">
        <f>+I16*C16</f>
        <v>0.19159999999999999</v>
      </c>
      <c r="K16" s="83"/>
      <c r="L16" s="90"/>
      <c r="M16" s="83"/>
      <c r="N16" s="143"/>
      <c r="O16" s="83"/>
      <c r="P16" s="83"/>
      <c r="Q16" s="83"/>
      <c r="R16" s="83"/>
      <c r="S16" s="83"/>
      <c r="T16" s="83"/>
      <c r="U16" s="90"/>
      <c r="V16" s="83"/>
      <c r="W16" s="83"/>
      <c r="X16" s="307"/>
      <c r="Y16" s="307"/>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row>
    <row r="17" spans="1:49" ht="15.75" customHeight="1" x14ac:dyDescent="0.25">
      <c r="A17" s="83"/>
      <c r="B17" s="375"/>
      <c r="C17" s="378"/>
      <c r="D17" s="88" t="str">
        <f>+GST!C31</f>
        <v>PLANIFICACION</v>
      </c>
      <c r="E17" s="83"/>
      <c r="F17" s="83"/>
      <c r="G17" s="122">
        <f>+GST!F31</f>
        <v>1</v>
      </c>
      <c r="H17" s="83"/>
      <c r="I17" s="387"/>
      <c r="J17" s="393"/>
      <c r="K17" s="83"/>
      <c r="L17" s="90"/>
      <c r="M17" s="83"/>
      <c r="N17" s="143"/>
      <c r="O17" s="83"/>
      <c r="P17" s="83"/>
      <c r="Q17" s="83"/>
      <c r="R17" s="83"/>
      <c r="S17" s="83"/>
      <c r="T17" s="83"/>
      <c r="U17" s="90"/>
      <c r="V17" s="83"/>
      <c r="W17" s="83"/>
      <c r="X17" s="307"/>
      <c r="Y17" s="307"/>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row>
    <row r="18" spans="1:49" ht="15.75" customHeight="1" x14ac:dyDescent="0.25">
      <c r="A18" s="83"/>
      <c r="B18" s="375"/>
      <c r="C18" s="378"/>
      <c r="D18" s="88" t="str">
        <f>+GST!C42</f>
        <v>INFORMACION Y COMUNICACIONES</v>
      </c>
      <c r="E18" s="83"/>
      <c r="F18" s="83"/>
      <c r="G18" s="122">
        <f>+GST!F42</f>
        <v>0.99999999999999989</v>
      </c>
      <c r="H18" s="83"/>
      <c r="I18" s="387"/>
      <c r="J18" s="393"/>
      <c r="K18" s="83"/>
      <c r="L18" s="90"/>
      <c r="M18" s="83"/>
      <c r="N18" s="143"/>
      <c r="O18" s="83"/>
      <c r="P18" s="83"/>
      <c r="Q18" s="83"/>
      <c r="R18" s="83"/>
      <c r="S18" s="83"/>
      <c r="T18" s="83"/>
      <c r="U18" s="90"/>
      <c r="V18" s="83"/>
      <c r="W18" s="83"/>
      <c r="X18" s="307"/>
      <c r="Y18" s="307"/>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row>
    <row r="19" spans="1:49" ht="15.75" customHeight="1" x14ac:dyDescent="0.25">
      <c r="A19" s="83"/>
      <c r="B19" s="375"/>
      <c r="C19" s="378"/>
      <c r="D19" s="88" t="str">
        <f>+GST!C48</f>
        <v>FORMACION Y DESARROLLO</v>
      </c>
      <c r="E19" s="83"/>
      <c r="F19" s="83"/>
      <c r="G19" s="122">
        <f>+GST!F48</f>
        <v>1</v>
      </c>
      <c r="H19" s="83"/>
      <c r="I19" s="387"/>
      <c r="J19" s="393"/>
      <c r="K19" s="83"/>
      <c r="L19" s="90"/>
      <c r="M19" s="83"/>
      <c r="N19" s="143"/>
      <c r="O19" s="83"/>
      <c r="P19" s="83"/>
      <c r="Q19" s="83"/>
      <c r="R19" s="83"/>
      <c r="S19" s="83"/>
      <c r="T19" s="83"/>
      <c r="U19" s="90"/>
      <c r="V19" s="83"/>
      <c r="W19" s="83"/>
      <c r="X19" s="307"/>
      <c r="Y19" s="307"/>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row>
    <row r="20" spans="1:49" ht="15.75" customHeight="1" thickBot="1" x14ac:dyDescent="0.3">
      <c r="A20" s="83"/>
      <c r="B20" s="376"/>
      <c r="C20" s="379"/>
      <c r="D20" s="89" t="str">
        <f>+GST!C52</f>
        <v>MEDICION Y MEJORA</v>
      </c>
      <c r="E20" s="83"/>
      <c r="F20" s="83"/>
      <c r="G20" s="123">
        <f>+GST!F52</f>
        <v>0.8600000000000001</v>
      </c>
      <c r="H20" s="83"/>
      <c r="I20" s="388"/>
      <c r="J20" s="394"/>
      <c r="K20" s="83"/>
      <c r="L20" s="90"/>
      <c r="M20" s="83"/>
      <c r="N20" s="143"/>
      <c r="O20" s="83"/>
      <c r="P20" s="83"/>
      <c r="Q20" s="83"/>
      <c r="R20" s="83"/>
      <c r="S20" s="83"/>
      <c r="T20" s="83"/>
      <c r="U20" s="90"/>
      <c r="V20" s="83"/>
      <c r="W20" s="83"/>
      <c r="X20" s="307"/>
      <c r="Y20" s="307"/>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row>
    <row r="21" spans="1:49" ht="15.75" customHeight="1" thickTop="1" x14ac:dyDescent="0.25">
      <c r="A21" s="83"/>
      <c r="B21" s="368" t="s">
        <v>1640</v>
      </c>
      <c r="C21" s="371">
        <v>0.3</v>
      </c>
      <c r="D21" s="87" t="str">
        <f>+IDP!C8</f>
        <v>ABASTECIMIENTO Y RECEPCIÓN</v>
      </c>
      <c r="E21" s="83"/>
      <c r="F21" s="83"/>
      <c r="G21" s="121">
        <f>+IDP!F8</f>
        <v>1</v>
      </c>
      <c r="H21" s="83"/>
      <c r="I21" s="389">
        <f>+IDP!F3</f>
        <v>0.97411111091499991</v>
      </c>
      <c r="J21" s="383">
        <f>+I21*C21</f>
        <v>0.29223333327449996</v>
      </c>
      <c r="K21" s="83"/>
      <c r="L21" s="90"/>
      <c r="M21" s="83"/>
      <c r="N21" s="143"/>
      <c r="O21" s="83"/>
      <c r="P21" s="83"/>
      <c r="Q21" s="83"/>
      <c r="R21" s="83"/>
      <c r="S21" s="83"/>
      <c r="T21" s="83"/>
      <c r="U21" s="90"/>
      <c r="V21" s="83"/>
      <c r="W21" s="83"/>
      <c r="X21" s="307"/>
      <c r="Y21" s="307"/>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row>
    <row r="22" spans="1:49" ht="15.75" customHeight="1" x14ac:dyDescent="0.25">
      <c r="A22" s="83"/>
      <c r="B22" s="369"/>
      <c r="C22" s="372"/>
      <c r="D22" s="88" t="str">
        <f>+IDP!C14</f>
        <v>ALMACENAMIENTO Y MANIPULEO</v>
      </c>
      <c r="E22" s="83"/>
      <c r="F22" s="83"/>
      <c r="G22" s="122">
        <f>+IDP!F14</f>
        <v>0.94444444366000002</v>
      </c>
      <c r="H22" s="83"/>
      <c r="I22" s="390"/>
      <c r="J22" s="384"/>
      <c r="K22" s="83"/>
      <c r="L22" s="90"/>
      <c r="M22" s="83"/>
      <c r="N22" s="143"/>
      <c r="O22" s="83"/>
      <c r="P22" s="83"/>
      <c r="Q22" s="83"/>
      <c r="R22" s="83"/>
      <c r="S22" s="83"/>
      <c r="T22" s="83"/>
      <c r="U22" s="90"/>
      <c r="V22" s="83"/>
      <c r="W22" s="83"/>
      <c r="X22" s="307"/>
      <c r="Y22" s="307"/>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row>
    <row r="23" spans="1:49" ht="15.75" customHeight="1" x14ac:dyDescent="0.25">
      <c r="A23" s="83"/>
      <c r="B23" s="369"/>
      <c r="C23" s="372"/>
      <c r="D23" s="88" t="str">
        <f>+IDP!C33</f>
        <v>TRANSPORTE Y REPARTO</v>
      </c>
      <c r="E23" s="83"/>
      <c r="F23" s="83"/>
      <c r="G23" s="122">
        <f>+IDP!F33</f>
        <v>0.99999999999999989</v>
      </c>
      <c r="H23" s="83"/>
      <c r="I23" s="390"/>
      <c r="J23" s="384"/>
      <c r="K23" s="83"/>
      <c r="L23" s="90"/>
      <c r="M23" s="83"/>
      <c r="N23" s="143"/>
      <c r="O23" s="83"/>
      <c r="P23" s="83"/>
      <c r="Q23" s="83"/>
      <c r="R23" s="83"/>
      <c r="S23" s="83"/>
      <c r="T23" s="83"/>
      <c r="U23" s="90"/>
      <c r="V23" s="83"/>
      <c r="W23" s="83"/>
      <c r="X23" s="307"/>
      <c r="Y23" s="307"/>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row>
    <row r="24" spans="1:49" ht="15.75" customHeight="1" x14ac:dyDescent="0.25">
      <c r="A24" s="83"/>
      <c r="B24" s="369"/>
      <c r="C24" s="372"/>
      <c r="D24" s="88" t="str">
        <f>+IDP!C42</f>
        <v>RETORNO Y/O DEVOLUCIONES</v>
      </c>
      <c r="E24" s="83"/>
      <c r="F24" s="83"/>
      <c r="G24" s="122">
        <f>+IDP!F42</f>
        <v>1</v>
      </c>
      <c r="H24" s="83"/>
      <c r="I24" s="390"/>
      <c r="J24" s="384"/>
      <c r="K24" s="83"/>
      <c r="L24" s="90"/>
      <c r="M24" s="83"/>
      <c r="N24" s="143"/>
      <c r="O24" s="83"/>
      <c r="P24" s="83"/>
      <c r="Q24" s="83"/>
      <c r="R24" s="83"/>
      <c r="S24" s="83"/>
      <c r="T24" s="83"/>
      <c r="U24" s="90"/>
      <c r="V24" s="83"/>
      <c r="W24" s="83"/>
      <c r="X24" s="307"/>
      <c r="Y24" s="307"/>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row>
    <row r="25" spans="1:49" ht="15.75" customHeight="1" x14ac:dyDescent="0.25">
      <c r="A25" s="83"/>
      <c r="B25" s="369"/>
      <c r="C25" s="372"/>
      <c r="D25" s="88" t="str">
        <f>+IDP!C49</f>
        <v>LIMPIEZA</v>
      </c>
      <c r="E25" s="83"/>
      <c r="F25" s="83"/>
      <c r="G25" s="122">
        <f>+IDP!F49</f>
        <v>1</v>
      </c>
      <c r="H25" s="83"/>
      <c r="I25" s="390"/>
      <c r="J25" s="384"/>
      <c r="K25" s="83"/>
      <c r="L25" s="90"/>
      <c r="M25" s="83"/>
      <c r="N25" s="143"/>
      <c r="O25" s="83"/>
      <c r="P25" s="83"/>
      <c r="Q25" s="83"/>
      <c r="R25" s="83"/>
      <c r="S25" s="83"/>
      <c r="T25" s="83"/>
      <c r="U25" s="90"/>
      <c r="V25" s="83"/>
      <c r="W25" s="83"/>
      <c r="X25" s="307"/>
      <c r="Y25" s="307"/>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row>
    <row r="26" spans="1:49" ht="15.75" customHeight="1" thickBot="1" x14ac:dyDescent="0.3">
      <c r="A26" s="83"/>
      <c r="B26" s="370"/>
      <c r="C26" s="373"/>
      <c r="D26" s="89" t="str">
        <f>+IDP!C58</f>
        <v>MANEJO INTEGRADO DE PLAGAS</v>
      </c>
      <c r="E26" s="306"/>
      <c r="F26" s="306"/>
      <c r="G26" s="123">
        <f>+IDP!F58</f>
        <v>0.87999999999999989</v>
      </c>
      <c r="H26" s="306"/>
      <c r="I26" s="391"/>
      <c r="J26" s="385"/>
      <c r="K26" s="83"/>
      <c r="L26" s="90"/>
      <c r="M26" s="83"/>
      <c r="N26" s="143"/>
      <c r="O26" s="83"/>
      <c r="P26" s="83"/>
      <c r="Q26" s="83"/>
      <c r="R26" s="83"/>
      <c r="S26" s="83"/>
      <c r="T26" s="83"/>
      <c r="U26" s="90"/>
      <c r="V26" s="83"/>
      <c r="W26" s="83"/>
      <c r="X26" s="307"/>
      <c r="Y26" s="307"/>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row>
    <row r="27" spans="1:49" ht="21.75" customHeight="1" thickTop="1" x14ac:dyDescent="0.25">
      <c r="A27" s="83"/>
      <c r="B27" s="83"/>
      <c r="C27" s="83"/>
      <c r="D27" s="83"/>
      <c r="E27" s="83"/>
      <c r="F27" s="83"/>
      <c r="G27" s="83"/>
      <c r="H27" s="83"/>
      <c r="I27" s="83"/>
      <c r="J27" s="83"/>
      <c r="K27" s="83"/>
      <c r="L27" s="90"/>
      <c r="M27" s="83"/>
      <c r="N27" s="143"/>
      <c r="O27" s="83"/>
      <c r="P27" s="83"/>
      <c r="Q27" s="83"/>
      <c r="R27" s="83"/>
      <c r="S27" s="83"/>
      <c r="T27" s="83"/>
      <c r="U27" s="90"/>
      <c r="V27" s="83"/>
      <c r="W27" s="83"/>
      <c r="X27" s="307"/>
      <c r="Y27" s="307"/>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row>
    <row r="28" spans="1:49" ht="7.5" customHeight="1" x14ac:dyDescent="0.25">
      <c r="A28" s="83"/>
      <c r="B28" s="83"/>
      <c r="C28" s="83"/>
      <c r="D28" s="83"/>
      <c r="E28" s="83"/>
      <c r="F28" s="83"/>
      <c r="G28" s="83"/>
      <c r="H28" s="83"/>
      <c r="I28" s="84"/>
      <c r="J28" s="84"/>
      <c r="K28" s="83"/>
      <c r="L28" s="90"/>
      <c r="M28" s="83"/>
      <c r="N28" s="83"/>
      <c r="O28" s="83"/>
      <c r="P28" s="83"/>
      <c r="Q28" s="84"/>
      <c r="R28" s="83"/>
      <c r="S28" s="83"/>
      <c r="T28" s="83"/>
      <c r="U28" s="90"/>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row>
    <row r="29" spans="1:49" ht="6" customHeight="1" x14ac:dyDescent="0.25">
      <c r="A29" s="90"/>
      <c r="B29" s="90"/>
      <c r="C29" s="90"/>
      <c r="D29" s="90"/>
      <c r="E29" s="90"/>
      <c r="F29" s="90"/>
      <c r="G29" s="90"/>
      <c r="H29" s="90"/>
      <c r="I29" s="90"/>
      <c r="J29" s="90"/>
      <c r="K29" s="90"/>
      <c r="L29" s="90"/>
      <c r="M29" s="90"/>
      <c r="N29" s="90"/>
      <c r="O29" s="90"/>
      <c r="P29" s="90"/>
      <c r="Q29" s="90"/>
      <c r="R29" s="90"/>
      <c r="S29" s="90"/>
      <c r="T29" s="90"/>
      <c r="U29" s="90"/>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row>
    <row r="30" spans="1:49" ht="6" customHeight="1" x14ac:dyDescent="0.25">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row>
    <row r="31" spans="1:49" x14ac:dyDescent="0.25">
      <c r="A31" s="83"/>
      <c r="B31" s="83"/>
      <c r="C31" s="83"/>
      <c r="D31" s="185" t="s">
        <v>957</v>
      </c>
      <c r="E31" s="83"/>
      <c r="F31" s="83"/>
      <c r="G31" s="83"/>
      <c r="H31" s="83"/>
      <c r="I31" s="84"/>
      <c r="J31" s="84"/>
      <c r="K31" s="83"/>
      <c r="L31" s="83"/>
      <c r="M31" s="83"/>
      <c r="N31" s="83"/>
      <c r="O31" s="83"/>
      <c r="P31" s="83"/>
      <c r="Q31" s="84"/>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row>
    <row r="32" spans="1:49" x14ac:dyDescent="0.25">
      <c r="A32" s="83"/>
      <c r="B32" s="83"/>
      <c r="C32" s="83"/>
      <c r="D32" s="185" t="s">
        <v>958</v>
      </c>
      <c r="E32" s="83"/>
      <c r="F32" s="83"/>
      <c r="G32" s="83"/>
      <c r="H32" s="83"/>
      <c r="I32" s="84"/>
      <c r="J32" s="84"/>
      <c r="K32" s="83"/>
      <c r="L32" s="83"/>
      <c r="M32" s="83"/>
      <c r="N32" s="83"/>
      <c r="O32" s="83"/>
      <c r="P32" s="83"/>
      <c r="Q32" s="84"/>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row>
    <row r="33" spans="1:49" x14ac:dyDescent="0.25">
      <c r="A33" s="83"/>
      <c r="B33" s="83"/>
      <c r="C33" s="83"/>
      <c r="D33" s="185" t="s">
        <v>959</v>
      </c>
      <c r="E33" s="83"/>
      <c r="F33" s="83"/>
      <c r="G33" s="83"/>
      <c r="H33" s="83"/>
      <c r="I33" s="84"/>
      <c r="J33" s="84"/>
      <c r="K33" s="83"/>
      <c r="L33" s="83"/>
      <c r="M33" s="83"/>
      <c r="N33" s="83"/>
      <c r="O33" s="83"/>
      <c r="P33" s="83"/>
      <c r="Q33" s="84"/>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row>
    <row r="34" spans="1:49" x14ac:dyDescent="0.25">
      <c r="A34" s="83"/>
      <c r="B34" s="83"/>
      <c r="C34" s="83"/>
      <c r="D34" s="185" t="s">
        <v>1659</v>
      </c>
      <c r="E34" s="83"/>
      <c r="F34" s="83"/>
      <c r="G34" s="83"/>
      <c r="H34" s="83"/>
      <c r="I34" s="84"/>
      <c r="J34" s="84"/>
      <c r="K34" s="83"/>
      <c r="L34" s="83"/>
      <c r="M34" s="83"/>
      <c r="N34" s="83"/>
      <c r="O34" s="83"/>
      <c r="P34" s="83"/>
      <c r="Q34" s="84"/>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row>
    <row r="35" spans="1:49" x14ac:dyDescent="0.25">
      <c r="A35" s="83"/>
      <c r="B35" s="83"/>
      <c r="C35" s="83"/>
      <c r="D35" s="185"/>
      <c r="E35" s="83"/>
      <c r="F35" s="83"/>
      <c r="G35" s="83"/>
      <c r="H35" s="83"/>
      <c r="I35" s="84"/>
      <c r="J35" s="84"/>
      <c r="K35" s="83"/>
      <c r="L35" s="83"/>
      <c r="M35" s="83"/>
      <c r="N35" s="83"/>
      <c r="O35" s="83"/>
      <c r="P35" s="83"/>
      <c r="Q35" s="84"/>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row>
    <row r="36" spans="1:49" x14ac:dyDescent="0.25">
      <c r="A36" s="83"/>
      <c r="B36" s="83"/>
      <c r="C36" s="83"/>
      <c r="D36" s="83"/>
      <c r="E36" s="83"/>
      <c r="F36" s="83"/>
      <c r="G36" s="83"/>
      <c r="H36" s="83"/>
      <c r="I36" s="84"/>
      <c r="J36" s="84"/>
      <c r="K36" s="83"/>
      <c r="L36" s="83"/>
      <c r="M36" s="83"/>
      <c r="N36" s="83"/>
      <c r="O36" s="83"/>
      <c r="P36" s="83"/>
      <c r="Q36" s="84"/>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row>
    <row r="37" spans="1:49" x14ac:dyDescent="0.25">
      <c r="A37" s="83"/>
      <c r="B37" s="83"/>
      <c r="C37" s="83"/>
      <c r="D37" s="83"/>
      <c r="E37" s="83"/>
      <c r="F37" s="83"/>
      <c r="G37" s="83"/>
      <c r="H37" s="83"/>
      <c r="I37" s="84"/>
      <c r="J37" s="84"/>
      <c r="K37" s="83"/>
      <c r="L37" s="83"/>
      <c r="M37" s="83"/>
      <c r="N37" s="83"/>
      <c r="O37" s="83"/>
      <c r="P37" s="83"/>
      <c r="Q37" s="84"/>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row>
    <row r="38" spans="1:49" x14ac:dyDescent="0.25">
      <c r="A38" s="83"/>
      <c r="B38" s="83"/>
      <c r="C38" s="83"/>
      <c r="D38" s="83"/>
      <c r="E38" s="83"/>
      <c r="F38" s="83"/>
      <c r="G38" s="83"/>
      <c r="H38" s="83"/>
      <c r="I38" s="84"/>
      <c r="J38" s="84"/>
      <c r="K38" s="83"/>
      <c r="L38" s="83"/>
      <c r="M38" s="83"/>
      <c r="N38" s="83"/>
      <c r="O38" s="83"/>
      <c r="P38" s="83"/>
      <c r="Q38" s="84"/>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row>
    <row r="39" spans="1:49" x14ac:dyDescent="0.25">
      <c r="A39" s="83"/>
      <c r="B39" s="83"/>
      <c r="C39" s="83"/>
      <c r="D39" s="83"/>
      <c r="E39" s="83"/>
      <c r="F39" s="83"/>
      <c r="G39" s="83"/>
      <c r="H39" s="83"/>
      <c r="I39" s="84"/>
      <c r="J39" s="84"/>
      <c r="K39" s="83"/>
      <c r="L39" s="83"/>
      <c r="M39" s="83"/>
      <c r="N39" s="83"/>
      <c r="O39" s="83"/>
      <c r="P39" s="83"/>
      <c r="Q39" s="84"/>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row>
    <row r="40" spans="1:49" x14ac:dyDescent="0.25">
      <c r="A40" s="83"/>
      <c r="B40" s="83"/>
      <c r="C40" s="83"/>
      <c r="D40" s="83"/>
      <c r="E40" s="83"/>
      <c r="F40" s="83"/>
      <c r="G40" s="83"/>
      <c r="H40" s="83"/>
      <c r="I40" s="84"/>
      <c r="J40" s="84"/>
      <c r="K40" s="83"/>
      <c r="L40" s="83"/>
      <c r="M40" s="83"/>
      <c r="N40" s="83"/>
      <c r="O40" s="83"/>
      <c r="P40" s="83"/>
      <c r="Q40" s="84"/>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row>
    <row r="41" spans="1:49" x14ac:dyDescent="0.25">
      <c r="A41" s="83"/>
      <c r="B41" s="83"/>
      <c r="C41" s="83"/>
      <c r="D41" s="83"/>
      <c r="E41" s="83"/>
      <c r="F41" s="83"/>
      <c r="G41" s="83"/>
      <c r="H41" s="83"/>
      <c r="I41" s="84"/>
      <c r="J41" s="84"/>
      <c r="K41" s="83"/>
      <c r="L41" s="83"/>
      <c r="M41" s="83"/>
      <c r="N41" s="83"/>
      <c r="O41" s="83"/>
      <c r="P41" s="83"/>
      <c r="Q41" s="84"/>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row>
    <row r="42" spans="1:49" x14ac:dyDescent="0.25">
      <c r="A42" s="83"/>
      <c r="B42" s="83"/>
      <c r="C42" s="83"/>
      <c r="D42" s="83"/>
      <c r="E42" s="83"/>
      <c r="F42" s="83"/>
      <c r="G42" s="83"/>
      <c r="H42" s="83"/>
      <c r="I42" s="84"/>
      <c r="J42" s="84"/>
      <c r="K42" s="83"/>
      <c r="L42" s="83"/>
      <c r="M42" s="83"/>
      <c r="N42" s="83"/>
      <c r="O42" s="83"/>
      <c r="P42" s="83"/>
      <c r="Q42" s="84"/>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row>
    <row r="43" spans="1:49" x14ac:dyDescent="0.25">
      <c r="A43" s="83"/>
      <c r="B43" s="83"/>
      <c r="C43" s="83"/>
      <c r="D43" s="83"/>
      <c r="E43" s="83"/>
      <c r="F43" s="83"/>
      <c r="G43" s="83"/>
      <c r="H43" s="83"/>
      <c r="I43" s="84"/>
      <c r="J43" s="84"/>
      <c r="K43" s="83"/>
      <c r="L43" s="83"/>
      <c r="M43" s="83"/>
      <c r="N43" s="83"/>
      <c r="O43" s="83"/>
      <c r="P43" s="83"/>
      <c r="Q43" s="84"/>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row>
    <row r="44" spans="1:49" x14ac:dyDescent="0.25">
      <c r="A44" s="83"/>
      <c r="B44" s="83"/>
      <c r="C44" s="83"/>
      <c r="D44" s="83"/>
      <c r="E44" s="83"/>
      <c r="F44" s="83"/>
      <c r="G44" s="83"/>
      <c r="H44" s="83"/>
      <c r="I44" s="84"/>
      <c r="J44" s="84"/>
      <c r="K44" s="83"/>
      <c r="L44" s="83"/>
      <c r="M44" s="83"/>
      <c r="N44" s="83"/>
      <c r="O44" s="83"/>
      <c r="P44" s="83"/>
      <c r="Q44" s="84"/>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row>
    <row r="45" spans="1:49" x14ac:dyDescent="0.25">
      <c r="A45" s="83"/>
      <c r="B45" s="83"/>
      <c r="C45" s="83"/>
      <c r="D45" s="83"/>
      <c r="E45" s="83"/>
      <c r="F45" s="83"/>
      <c r="G45" s="83"/>
      <c r="H45" s="83"/>
      <c r="I45" s="84"/>
      <c r="J45" s="84"/>
      <c r="K45" s="83"/>
      <c r="L45" s="83"/>
      <c r="M45" s="83"/>
      <c r="N45" s="83"/>
      <c r="O45" s="83"/>
      <c r="P45" s="83"/>
      <c r="Q45" s="84"/>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row>
    <row r="46" spans="1:49" x14ac:dyDescent="0.25">
      <c r="A46" s="83"/>
      <c r="B46" s="83"/>
      <c r="C46" s="83"/>
      <c r="D46" s="83"/>
      <c r="E46" s="83"/>
      <c r="F46" s="83"/>
      <c r="G46" s="83"/>
      <c r="H46" s="83"/>
      <c r="I46" s="84"/>
      <c r="J46" s="84"/>
      <c r="K46" s="83"/>
      <c r="L46" s="83"/>
      <c r="M46" s="83"/>
      <c r="N46" s="83"/>
      <c r="O46" s="83"/>
      <c r="P46" s="83"/>
      <c r="Q46" s="84"/>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row>
    <row r="47" spans="1:49" x14ac:dyDescent="0.25">
      <c r="A47" s="83"/>
      <c r="B47" s="83"/>
      <c r="C47" s="83"/>
      <c r="D47" s="83"/>
      <c r="E47" s="83"/>
      <c r="F47" s="83"/>
      <c r="G47" s="83"/>
      <c r="H47" s="83"/>
      <c r="I47" s="84"/>
      <c r="J47" s="84"/>
      <c r="K47" s="83"/>
      <c r="L47" s="83"/>
      <c r="M47" s="83"/>
      <c r="N47" s="83"/>
      <c r="O47" s="83"/>
      <c r="P47" s="83"/>
      <c r="Q47" s="84"/>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row>
    <row r="48" spans="1:49" x14ac:dyDescent="0.25">
      <c r="A48" s="83"/>
      <c r="B48" s="83"/>
      <c r="C48" s="83"/>
      <c r="D48" s="83"/>
      <c r="E48" s="83"/>
      <c r="F48" s="83"/>
      <c r="G48" s="83"/>
      <c r="H48" s="83"/>
      <c r="I48" s="84"/>
      <c r="J48" s="84"/>
      <c r="K48" s="83"/>
      <c r="L48" s="83"/>
      <c r="M48" s="83"/>
      <c r="N48" s="83"/>
      <c r="O48" s="83"/>
      <c r="P48" s="83"/>
      <c r="Q48" s="84"/>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row>
    <row r="49" spans="1:49" x14ac:dyDescent="0.25">
      <c r="A49" s="83"/>
      <c r="B49" s="83"/>
      <c r="C49" s="83"/>
      <c r="D49" s="83"/>
      <c r="E49" s="83"/>
      <c r="F49" s="83"/>
      <c r="G49" s="83"/>
      <c r="H49" s="83"/>
      <c r="I49" s="84"/>
      <c r="J49" s="84"/>
      <c r="K49" s="83"/>
      <c r="L49" s="83"/>
      <c r="M49" s="83"/>
      <c r="N49" s="83"/>
      <c r="O49" s="83"/>
      <c r="P49" s="83"/>
      <c r="Q49" s="84"/>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row>
    <row r="50" spans="1:49" x14ac:dyDescent="0.25">
      <c r="A50" s="83"/>
      <c r="B50" s="83"/>
      <c r="C50" s="83"/>
      <c r="D50" s="83"/>
      <c r="E50" s="83"/>
      <c r="F50" s="83"/>
      <c r="G50" s="83"/>
      <c r="H50" s="83"/>
      <c r="I50" s="84"/>
      <c r="J50" s="84"/>
      <c r="K50" s="83"/>
      <c r="L50" s="83"/>
      <c r="M50" s="83"/>
      <c r="N50" s="83"/>
      <c r="O50" s="83"/>
      <c r="P50" s="83"/>
      <c r="Q50" s="84"/>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row>
    <row r="51" spans="1:49" x14ac:dyDescent="0.25">
      <c r="A51" s="83"/>
      <c r="B51" s="83"/>
      <c r="C51" s="83"/>
      <c r="D51" s="83"/>
      <c r="E51" s="83"/>
      <c r="F51" s="83"/>
      <c r="G51" s="83"/>
      <c r="H51" s="83"/>
      <c r="I51" s="84"/>
      <c r="J51" s="84"/>
      <c r="K51" s="83"/>
      <c r="L51" s="83"/>
      <c r="M51" s="83"/>
      <c r="N51" s="83"/>
      <c r="O51" s="83"/>
      <c r="P51" s="83"/>
      <c r="Q51" s="84"/>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row>
    <row r="52" spans="1:49" x14ac:dyDescent="0.25">
      <c r="A52" s="83"/>
      <c r="B52" s="83"/>
      <c r="C52" s="83"/>
      <c r="D52" s="83"/>
      <c r="E52" s="83"/>
      <c r="F52" s="83"/>
      <c r="G52" s="83"/>
      <c r="H52" s="83"/>
      <c r="I52" s="84"/>
      <c r="J52" s="84"/>
      <c r="K52" s="83"/>
      <c r="L52" s="83"/>
      <c r="M52" s="83"/>
      <c r="N52" s="83"/>
      <c r="O52" s="83"/>
      <c r="P52" s="83"/>
      <c r="Q52" s="84"/>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row>
  </sheetData>
  <mergeCells count="16">
    <mergeCell ref="J10:J15"/>
    <mergeCell ref="J5:J9"/>
    <mergeCell ref="J16:J20"/>
    <mergeCell ref="B5:B9"/>
    <mergeCell ref="C5:C9"/>
    <mergeCell ref="I5:I9"/>
    <mergeCell ref="B10:B15"/>
    <mergeCell ref="C10:C15"/>
    <mergeCell ref="I10:I15"/>
    <mergeCell ref="J21:J26"/>
    <mergeCell ref="B21:B26"/>
    <mergeCell ref="C21:C26"/>
    <mergeCell ref="B16:B20"/>
    <mergeCell ref="C16:C20"/>
    <mergeCell ref="I16:I20"/>
    <mergeCell ref="I21:I26"/>
  </mergeCells>
  <conditionalFormatting sqref="G5:G26">
    <cfRule type="dataBar" priority="1">
      <dataBar>
        <cfvo type="min"/>
        <cfvo type="max"/>
        <color rgb="FFFFB628"/>
      </dataBar>
      <extLst>
        <ext xmlns:x14="http://schemas.microsoft.com/office/spreadsheetml/2009/9/main" uri="{B025F937-C7B1-47D3-B67F-A62EFF666E3E}">
          <x14:id>{3C7A23B3-1618-4E24-93B8-4D343E3B5FA7}</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3C7A23B3-1618-4E24-93B8-4D343E3B5FA7}">
            <x14:dataBar minLength="0" maxLength="100" border="1" negativeBarBorderColorSameAsPositive="0">
              <x14:cfvo type="autoMin"/>
              <x14:cfvo type="autoMax"/>
              <x14:borderColor rgb="FFFFB628"/>
              <x14:negativeFillColor rgb="FFFF0000"/>
              <x14:negativeBorderColor rgb="FFFF0000"/>
              <x14:axisColor rgb="FF000000"/>
            </x14:dataBar>
          </x14:cfRule>
          <xm:sqref>G5:G26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8801-299B-486A-B21B-757A5381C083}">
  <dimension ref="A1:AH79"/>
  <sheetViews>
    <sheetView showGridLines="0" zoomScale="69" zoomScaleNormal="69" workbookViewId="0">
      <pane xSplit="22" ySplit="2" topLeftCell="W3" activePane="bottomRight" state="frozen"/>
      <selection pane="topRight" activeCell="W1" sqref="W1"/>
      <selection pane="bottomLeft" activeCell="A3" sqref="A3"/>
      <selection pane="bottomRight" activeCell="M13" sqref="M13"/>
    </sheetView>
  </sheetViews>
  <sheetFormatPr baseColWidth="10" defaultRowHeight="15.75" x14ac:dyDescent="0.25"/>
  <cols>
    <col min="1" max="1" width="3" customWidth="1"/>
    <col min="2" max="2" width="11" style="1"/>
    <col min="3" max="3" width="11" customWidth="1"/>
    <col min="4" max="4" width="44.25" bestFit="1" customWidth="1"/>
    <col min="5" max="5" width="0.875" customWidth="1"/>
    <col min="6" max="7" width="8.25" style="3" customWidth="1"/>
    <col min="8" max="8" width="9.125" customWidth="1"/>
    <col min="9" max="9" width="3.25" customWidth="1"/>
    <col min="10" max="10" width="1.375" customWidth="1"/>
    <col min="11" max="11" width="5.25" customWidth="1"/>
    <col min="12" max="13" width="17" customWidth="1"/>
    <col min="15" max="15" width="1.75" customWidth="1"/>
    <col min="16" max="16" width="12.75" hidden="1" customWidth="1"/>
    <col min="20" max="20" width="2.75" customWidth="1"/>
    <col min="23" max="23" width="20" customWidth="1"/>
    <col min="24" max="24" width="8.5" customWidth="1"/>
  </cols>
  <sheetData>
    <row r="1" spans="1:34" ht="10.5" customHeight="1" x14ac:dyDescent="0.25">
      <c r="A1" s="83"/>
      <c r="B1" s="100"/>
      <c r="C1" s="83"/>
      <c r="D1" s="83"/>
      <c r="E1" s="83"/>
      <c r="F1" s="96"/>
      <c r="G1" s="96"/>
      <c r="H1" s="83"/>
      <c r="I1" s="83"/>
      <c r="J1" s="83"/>
      <c r="K1" s="83"/>
      <c r="L1" s="83"/>
      <c r="M1" s="83"/>
      <c r="N1" s="83"/>
      <c r="O1" s="83"/>
      <c r="P1" s="83"/>
      <c r="Q1" s="83"/>
      <c r="R1" s="83"/>
      <c r="S1" s="83"/>
      <c r="T1" s="83"/>
      <c r="U1" s="83"/>
      <c r="V1" s="83"/>
      <c r="W1" s="83"/>
      <c r="X1" s="83"/>
      <c r="Y1" s="83"/>
      <c r="Z1" s="83"/>
      <c r="AA1" s="83"/>
      <c r="AB1" s="83"/>
      <c r="AC1" s="83"/>
      <c r="AD1" s="83"/>
      <c r="AE1" s="83"/>
      <c r="AF1" s="83"/>
      <c r="AG1" s="83"/>
      <c r="AH1" s="83"/>
    </row>
    <row r="2" spans="1:34" ht="38.25" customHeight="1" x14ac:dyDescent="0.25">
      <c r="A2" s="83"/>
      <c r="B2" s="106" t="s">
        <v>869</v>
      </c>
      <c r="C2" s="95" t="s">
        <v>869</v>
      </c>
      <c r="D2" s="106" t="s">
        <v>870</v>
      </c>
      <c r="E2" s="85"/>
      <c r="F2" s="398" t="s">
        <v>892</v>
      </c>
      <c r="G2" s="398"/>
      <c r="H2" s="398"/>
      <c r="I2" s="124"/>
      <c r="J2" s="83"/>
      <c r="K2" s="83"/>
      <c r="L2" s="398" t="s">
        <v>873</v>
      </c>
      <c r="M2" s="398"/>
      <c r="N2" s="398"/>
      <c r="O2" s="398"/>
      <c r="P2" s="83"/>
      <c r="Q2" s="83"/>
      <c r="R2" s="83"/>
      <c r="S2" s="83"/>
      <c r="T2" s="83"/>
      <c r="U2" s="83"/>
      <c r="V2" s="83"/>
      <c r="W2" s="83"/>
      <c r="X2" s="83"/>
      <c r="Y2" s="83"/>
      <c r="Z2" s="83"/>
      <c r="AA2" s="83"/>
      <c r="AB2" s="83"/>
      <c r="AC2" s="83"/>
      <c r="AD2" s="83"/>
      <c r="AE2" s="83"/>
      <c r="AF2" s="83"/>
      <c r="AG2" s="83"/>
      <c r="AH2" s="83"/>
    </row>
    <row r="3" spans="1:34" ht="23.25" x14ac:dyDescent="0.25">
      <c r="A3" s="83"/>
      <c r="B3" s="100"/>
      <c r="C3" s="97"/>
      <c r="D3" s="97"/>
      <c r="E3" s="97"/>
      <c r="F3" s="98" t="s">
        <v>871</v>
      </c>
      <c r="G3" s="98" t="s">
        <v>900</v>
      </c>
      <c r="H3" s="99"/>
      <c r="I3" s="99"/>
      <c r="J3" s="99"/>
      <c r="K3" s="99"/>
      <c r="L3" s="99"/>
      <c r="M3" s="99"/>
      <c r="N3" s="99"/>
      <c r="O3" s="83"/>
      <c r="P3" s="83"/>
      <c r="Q3" s="83"/>
      <c r="R3" s="83"/>
      <c r="S3" s="83"/>
      <c r="T3" s="83"/>
      <c r="U3" s="118"/>
      <c r="V3" s="83"/>
      <c r="W3" s="83"/>
      <c r="X3" s="83"/>
      <c r="Y3" s="83"/>
      <c r="Z3" s="83"/>
      <c r="AA3" s="83"/>
      <c r="AB3" s="83"/>
      <c r="AC3" s="83"/>
      <c r="AD3" s="83"/>
      <c r="AE3" s="83"/>
      <c r="AF3" s="83"/>
      <c r="AG3" s="83"/>
      <c r="AH3" s="83"/>
    </row>
    <row r="4" spans="1:34" ht="5.25" customHeight="1" thickBot="1" x14ac:dyDescent="0.3">
      <c r="A4" s="83"/>
      <c r="B4" s="100"/>
      <c r="C4" s="83"/>
      <c r="D4" s="83"/>
      <c r="E4" s="83"/>
      <c r="F4" s="96"/>
      <c r="G4" s="96"/>
      <c r="H4" s="83"/>
      <c r="I4" s="83"/>
      <c r="J4" s="83"/>
      <c r="K4" s="83"/>
      <c r="L4" s="83"/>
      <c r="M4" s="83"/>
      <c r="N4" s="83"/>
      <c r="O4" s="83"/>
      <c r="P4" s="83"/>
      <c r="Q4" s="83"/>
      <c r="R4" s="83"/>
      <c r="S4" s="83"/>
      <c r="T4" s="83"/>
      <c r="U4" s="83"/>
      <c r="V4" s="83"/>
      <c r="W4" s="83"/>
      <c r="X4" s="83"/>
      <c r="Y4" s="83"/>
      <c r="Z4" s="83"/>
      <c r="AA4" s="83"/>
      <c r="AB4" s="83"/>
      <c r="AC4" s="83"/>
      <c r="AD4" s="83"/>
      <c r="AE4" s="83"/>
      <c r="AF4" s="83"/>
      <c r="AG4" s="83"/>
      <c r="AH4" s="83"/>
    </row>
    <row r="5" spans="1:34" s="94" customFormat="1" ht="25.5" customHeight="1" thickBot="1" x14ac:dyDescent="0.3">
      <c r="A5" s="99"/>
      <c r="B5" s="115">
        <v>1</v>
      </c>
      <c r="C5" s="101" t="s">
        <v>1301</v>
      </c>
      <c r="D5" s="102" t="str">
        <f>+IFT!C13</f>
        <v>ENTORNO - ACCESO</v>
      </c>
      <c r="E5" s="99"/>
      <c r="F5" s="107">
        <f>COUNTIF(IFT!H:H,'Condicionales 2.0'!C5)</f>
        <v>1</v>
      </c>
      <c r="G5" s="107">
        <f>SUMIF(IFT!H:H,'Condicionales 2.0'!C5,IFT!F:F)</f>
        <v>1</v>
      </c>
      <c r="H5" s="137">
        <f>+G5/F5</f>
        <v>1</v>
      </c>
      <c r="I5" s="138">
        <f>+H5</f>
        <v>1</v>
      </c>
      <c r="J5" s="99"/>
      <c r="K5" s="99"/>
      <c r="L5" s="113" t="s">
        <v>1660</v>
      </c>
      <c r="M5" s="99"/>
      <c r="N5" s="99"/>
      <c r="O5" s="99"/>
      <c r="P5" s="114"/>
      <c r="Q5" s="99"/>
      <c r="R5" s="99"/>
      <c r="S5" s="99"/>
      <c r="T5" s="99"/>
      <c r="U5" s="99"/>
      <c r="V5" s="99"/>
      <c r="W5" s="99"/>
      <c r="X5" s="99"/>
      <c r="Y5" s="99"/>
      <c r="Z5" s="99"/>
      <c r="AA5" s="99"/>
      <c r="AB5" s="99"/>
      <c r="AC5" s="99"/>
      <c r="AD5" s="99"/>
      <c r="AE5" s="99"/>
      <c r="AF5" s="99"/>
      <c r="AG5" s="99"/>
      <c r="AH5" s="99"/>
    </row>
    <row r="6" spans="1:34" s="94" customFormat="1" ht="25.5" customHeight="1" x14ac:dyDescent="0.25">
      <c r="A6" s="99"/>
      <c r="B6" s="116">
        <f>+B5+1</f>
        <v>2</v>
      </c>
      <c r="C6" s="103" t="s">
        <v>1302</v>
      </c>
      <c r="D6" s="104" t="str">
        <f>+IFT!C22</f>
        <v>LAY OUT - CAPACIDAD Y MODULACION</v>
      </c>
      <c r="E6" s="99"/>
      <c r="F6" s="109">
        <f>COUNTIF(IFT!H:H,'Condicionales 2.0'!C6)</f>
        <v>1</v>
      </c>
      <c r="G6" s="109">
        <f>SUMIF(IFT!H:H,'Condicionales 2.0'!C6,IFT!F:F)</f>
        <v>1</v>
      </c>
      <c r="H6" s="139">
        <f t="shared" ref="H6:H16" si="0">+G6/F6</f>
        <v>1</v>
      </c>
      <c r="I6" s="140">
        <f t="shared" ref="I6:I16" si="1">+H6</f>
        <v>1</v>
      </c>
      <c r="J6" s="99"/>
      <c r="K6" s="99"/>
      <c r="L6" s="115" t="s">
        <v>1235</v>
      </c>
      <c r="M6" s="326">
        <f>+'Resumen  - Se oculta 2,0'!B39</f>
        <v>0.95677083327449997</v>
      </c>
      <c r="N6" s="99"/>
      <c r="O6" s="114"/>
      <c r="P6" s="114" t="str">
        <f>+"BPLs Críticas Cumplidas "&amp;M10&amp;" de "&amp;M9</f>
        <v>BPLs Críticas Cumplidas 12 de 12</v>
      </c>
      <c r="Q6" s="99"/>
      <c r="R6" s="99"/>
      <c r="S6" s="99"/>
      <c r="T6" s="99"/>
      <c r="U6" s="99"/>
      <c r="V6" s="99"/>
      <c r="W6" s="99"/>
      <c r="X6" s="99"/>
      <c r="Y6" s="99"/>
      <c r="Z6" s="99"/>
      <c r="AA6" s="99"/>
      <c r="AB6" s="99"/>
      <c r="AC6" s="99"/>
      <c r="AD6" s="99"/>
      <c r="AE6" s="99"/>
      <c r="AF6" s="99"/>
      <c r="AG6" s="99"/>
      <c r="AH6" s="99"/>
    </row>
    <row r="7" spans="1:34" s="94" customFormat="1" ht="25.5" customHeight="1" thickBot="1" x14ac:dyDescent="0.3">
      <c r="A7" s="99"/>
      <c r="B7" s="116">
        <f t="shared" ref="B7:B15" si="2">+B6+1</f>
        <v>3</v>
      </c>
      <c r="C7" s="103" t="s">
        <v>1303</v>
      </c>
      <c r="D7" s="104" t="str">
        <f>+IFT!C41</f>
        <v>EPPS Y EXTINGUIDORES</v>
      </c>
      <c r="E7" s="99"/>
      <c r="F7" s="109">
        <f>COUNTIF(IFT!H:H,'Condicionales 2.0'!C7)</f>
        <v>2</v>
      </c>
      <c r="G7" s="109">
        <f>SUMIF(IFT!H:H,'Condicionales 2.0'!C7,IFT!F:F)</f>
        <v>2</v>
      </c>
      <c r="H7" s="139">
        <f t="shared" si="0"/>
        <v>1</v>
      </c>
      <c r="I7" s="140">
        <f t="shared" si="1"/>
        <v>1</v>
      </c>
      <c r="J7" s="99"/>
      <c r="K7" s="99"/>
      <c r="L7" s="117" t="s">
        <v>868</v>
      </c>
      <c r="M7" s="327" t="str">
        <f>+'Resumen  - Se oculta 2,0'!D39</f>
        <v>PROACTIVO</v>
      </c>
      <c r="N7" s="99"/>
      <c r="O7" s="99"/>
      <c r="P7" s="114"/>
      <c r="Q7" s="99"/>
      <c r="R7" s="99"/>
      <c r="S7" s="99"/>
      <c r="T7" s="99"/>
      <c r="U7" s="99"/>
      <c r="V7" s="99"/>
      <c r="W7" s="99"/>
      <c r="X7" s="99"/>
      <c r="Y7" s="99"/>
      <c r="Z7" s="99"/>
      <c r="AA7" s="99"/>
      <c r="AB7" s="99"/>
      <c r="AC7" s="99"/>
      <c r="AD7" s="99"/>
      <c r="AE7" s="99"/>
      <c r="AF7" s="99"/>
      <c r="AG7" s="99"/>
      <c r="AH7" s="99"/>
    </row>
    <row r="8" spans="1:34" s="94" customFormat="1" ht="25.5" customHeight="1" thickBot="1" x14ac:dyDescent="0.3">
      <c r="A8" s="99"/>
      <c r="B8" s="117">
        <f t="shared" si="2"/>
        <v>4</v>
      </c>
      <c r="C8" s="170" t="s">
        <v>1314</v>
      </c>
      <c r="D8" s="105" t="str">
        <f>+IFT!C54</f>
        <v>EQUIPAMIENTO DE MANIPULEO</v>
      </c>
      <c r="E8" s="99"/>
      <c r="F8" s="111">
        <f>COUNTIF(IFT!H:H,'Condicionales 2.0'!C8)</f>
        <v>3</v>
      </c>
      <c r="G8" s="312">
        <f>SUMIF(IFT!H:H,'Condicionales 2.0'!C8,IFT!F:F)</f>
        <v>3</v>
      </c>
      <c r="H8" s="139">
        <f t="shared" si="0"/>
        <v>1</v>
      </c>
      <c r="I8" s="140">
        <f t="shared" si="1"/>
        <v>1</v>
      </c>
      <c r="J8" s="99"/>
      <c r="K8" s="99"/>
      <c r="L8" s="99"/>
      <c r="M8" s="100"/>
      <c r="N8" s="99"/>
      <c r="O8" s="99"/>
      <c r="P8" s="114"/>
      <c r="Q8" s="99"/>
      <c r="R8" s="99"/>
      <c r="S8" s="99"/>
      <c r="T8" s="99"/>
      <c r="U8" s="99"/>
      <c r="V8" s="99"/>
      <c r="W8" s="99"/>
      <c r="X8" s="99"/>
      <c r="Y8" s="99"/>
      <c r="Z8" s="99"/>
      <c r="AA8" s="99"/>
      <c r="AB8" s="99"/>
      <c r="AC8" s="99"/>
      <c r="AD8" s="99"/>
      <c r="AE8" s="99"/>
      <c r="AF8" s="99"/>
      <c r="AG8" s="99"/>
      <c r="AH8" s="99"/>
    </row>
    <row r="9" spans="1:34" s="94" customFormat="1" ht="25.5" customHeight="1" x14ac:dyDescent="0.25">
      <c r="A9" s="99"/>
      <c r="B9" s="308">
        <f t="shared" si="2"/>
        <v>5</v>
      </c>
      <c r="C9" s="309" t="s">
        <v>1349</v>
      </c>
      <c r="D9" s="310" t="str">
        <f>+PLG!C13</f>
        <v>COORDINACIÓN DEL ABASTECIMIENTO</v>
      </c>
      <c r="E9" s="99"/>
      <c r="F9" s="311">
        <f>COUNTIF(PLG!H:H,'Condicionales 2.0'!C9)</f>
        <v>4</v>
      </c>
      <c r="G9" s="311">
        <f>SUMIF(PLG!H:H,'Condicionales 2.0'!C9,PLG!F:F)</f>
        <v>4</v>
      </c>
      <c r="H9" s="139">
        <f t="shared" si="0"/>
        <v>1</v>
      </c>
      <c r="I9" s="140">
        <f t="shared" si="1"/>
        <v>1</v>
      </c>
      <c r="J9" s="99"/>
      <c r="K9" s="99"/>
      <c r="L9" s="115" t="s">
        <v>515</v>
      </c>
      <c r="M9" s="147">
        <f>+F19</f>
        <v>12</v>
      </c>
      <c r="N9" s="99"/>
      <c r="O9" s="99"/>
      <c r="P9" s="99"/>
      <c r="Q9" s="99"/>
      <c r="R9" s="99"/>
      <c r="S9" s="99"/>
      <c r="T9" s="99"/>
      <c r="U9" s="99"/>
      <c r="V9" s="99"/>
      <c r="W9" s="99"/>
      <c r="X9" s="99"/>
      <c r="Y9" s="99"/>
      <c r="Z9" s="99"/>
      <c r="AA9" s="99"/>
      <c r="AB9" s="99"/>
      <c r="AC9" s="99"/>
      <c r="AD9" s="99"/>
      <c r="AE9" s="99"/>
      <c r="AF9" s="99"/>
      <c r="AG9" s="99"/>
      <c r="AH9" s="99"/>
    </row>
    <row r="10" spans="1:34" s="94" customFormat="1" ht="25.5" customHeight="1" thickBot="1" x14ac:dyDescent="0.3">
      <c r="A10" s="99"/>
      <c r="B10" s="117">
        <f t="shared" si="2"/>
        <v>6</v>
      </c>
      <c r="C10" s="170" t="s">
        <v>1372</v>
      </c>
      <c r="D10" s="105" t="str">
        <f>+PLG!C33</f>
        <v>INVENTARIOS ROTATIVOS</v>
      </c>
      <c r="E10" s="99"/>
      <c r="F10" s="111">
        <f>COUNTIF(PLG!H:H,'Condicionales 2.0'!C10)</f>
        <v>3</v>
      </c>
      <c r="G10" s="312">
        <f>SUMIF(PLG!H:H,'Condicionales 2.0'!C10,PLG!F:F)</f>
        <v>3</v>
      </c>
      <c r="H10" s="139">
        <f t="shared" si="0"/>
        <v>1</v>
      </c>
      <c r="I10" s="140">
        <f t="shared" si="1"/>
        <v>1</v>
      </c>
      <c r="J10" s="99"/>
      <c r="K10" s="99"/>
      <c r="L10" s="117" t="s">
        <v>872</v>
      </c>
      <c r="M10" s="148">
        <f>+G19</f>
        <v>12</v>
      </c>
      <c r="N10" s="99"/>
      <c r="O10" s="99"/>
      <c r="P10" s="99"/>
      <c r="Q10" s="99"/>
      <c r="R10" s="99"/>
      <c r="S10" s="99"/>
      <c r="T10" s="99"/>
      <c r="U10" s="99"/>
      <c r="V10" s="99"/>
      <c r="W10" s="99"/>
      <c r="X10" s="99"/>
      <c r="Y10" s="99"/>
      <c r="Z10" s="99"/>
      <c r="AA10" s="99"/>
      <c r="AB10" s="99"/>
      <c r="AC10" s="99"/>
      <c r="AD10" s="99"/>
      <c r="AE10" s="99"/>
      <c r="AF10" s="99"/>
      <c r="AG10" s="99"/>
      <c r="AH10" s="99"/>
    </row>
    <row r="11" spans="1:34" s="94" customFormat="1" ht="25.5" customHeight="1" thickBot="1" x14ac:dyDescent="0.3">
      <c r="A11" s="99"/>
      <c r="B11" s="308">
        <v>7</v>
      </c>
      <c r="C11" s="309" t="s">
        <v>1501</v>
      </c>
      <c r="D11" s="310" t="str">
        <f>+GST!C23</f>
        <v>PROCESOS DOCUMENTADOS</v>
      </c>
      <c r="E11" s="99"/>
      <c r="F11" s="311">
        <f>COUNTIF(GST!H:H,'Condicionales 2.0'!C11)</f>
        <v>10</v>
      </c>
      <c r="G11" s="311">
        <f>SUMIF(GST!H:H,'Condicionales 2.0'!C11,GST!F:F)</f>
        <v>10</v>
      </c>
      <c r="H11" s="139">
        <f t="shared" ref="H11" si="3">+G11/F11</f>
        <v>1</v>
      </c>
      <c r="I11" s="140">
        <f t="shared" ref="I11" si="4">+H11</f>
        <v>1</v>
      </c>
      <c r="J11" s="99"/>
      <c r="K11" s="99"/>
      <c r="L11" s="99"/>
      <c r="M11" s="100"/>
      <c r="N11" s="99"/>
      <c r="O11" s="99"/>
      <c r="P11" s="99"/>
      <c r="Q11" s="99"/>
      <c r="R11" s="99"/>
      <c r="S11" s="99"/>
      <c r="T11" s="99"/>
      <c r="U11" s="99"/>
      <c r="V11" s="99"/>
      <c r="W11" s="99"/>
      <c r="X11" s="99"/>
      <c r="Y11" s="99"/>
      <c r="Z11" s="99"/>
      <c r="AA11" s="99"/>
      <c r="AB11" s="99"/>
      <c r="AC11" s="99"/>
      <c r="AD11" s="99"/>
      <c r="AE11" s="99"/>
      <c r="AF11" s="99"/>
      <c r="AG11" s="99"/>
      <c r="AH11" s="99"/>
    </row>
    <row r="12" spans="1:34" s="94" customFormat="1" ht="25.5" customHeight="1" thickBot="1" x14ac:dyDescent="0.3">
      <c r="A12" s="99"/>
      <c r="B12" s="117">
        <f>+B11+1</f>
        <v>8</v>
      </c>
      <c r="C12" s="170" t="s">
        <v>1538</v>
      </c>
      <c r="D12" s="105" t="str">
        <f>+GST!C55</f>
        <v>INDICADORES</v>
      </c>
      <c r="E12" s="99"/>
      <c r="F12" s="111">
        <f>COUNTIF(GST!H:H,'Condicionales 2.0'!C12)</f>
        <v>6</v>
      </c>
      <c r="G12" s="312">
        <f>SUMIF(GST!H:H,'Condicionales 2.0'!C12,GST!F:F)</f>
        <v>6</v>
      </c>
      <c r="H12" s="139">
        <f t="shared" si="0"/>
        <v>1</v>
      </c>
      <c r="I12" s="140">
        <f t="shared" si="1"/>
        <v>1</v>
      </c>
      <c r="J12" s="99"/>
      <c r="K12" s="99"/>
      <c r="L12" s="329" t="s">
        <v>1758</v>
      </c>
      <c r="M12" s="330"/>
      <c r="N12" s="99"/>
      <c r="O12" s="99"/>
      <c r="P12" s="99"/>
      <c r="Q12" s="99"/>
      <c r="R12" s="99"/>
      <c r="S12" s="99"/>
      <c r="T12" s="99"/>
      <c r="U12" s="99"/>
      <c r="V12" s="99"/>
      <c r="W12" s="99"/>
      <c r="X12" s="99"/>
      <c r="Y12" s="99"/>
      <c r="Z12" s="99"/>
      <c r="AA12" s="99"/>
      <c r="AB12" s="99"/>
      <c r="AC12" s="99"/>
      <c r="AD12" s="99"/>
      <c r="AE12" s="99"/>
      <c r="AF12" s="99"/>
      <c r="AG12" s="99"/>
      <c r="AH12" s="99"/>
    </row>
    <row r="13" spans="1:34" s="94" customFormat="1" ht="25.5" customHeight="1" thickBot="1" x14ac:dyDescent="0.3">
      <c r="A13" s="99"/>
      <c r="B13" s="308">
        <f t="shared" si="2"/>
        <v>9</v>
      </c>
      <c r="C13" s="309" t="s">
        <v>1583</v>
      </c>
      <c r="D13" s="310" t="str">
        <f>+IDP!C24</f>
        <v>CONTROL DE TEMPERATURAS</v>
      </c>
      <c r="E13" s="99"/>
      <c r="F13" s="311">
        <f>COUNTIF(IDP!H:H,'Condicionales 2.0'!C13)</f>
        <v>2</v>
      </c>
      <c r="G13" s="311">
        <f>SUMIF(IDP!H:H,'Condicionales 2.0'!C13,IDP!F:F)</f>
        <v>2</v>
      </c>
      <c r="H13" s="139">
        <f t="shared" si="0"/>
        <v>1</v>
      </c>
      <c r="I13" s="140">
        <f t="shared" si="1"/>
        <v>1</v>
      </c>
      <c r="J13" s="99"/>
      <c r="K13" s="99"/>
      <c r="L13" s="331">
        <f>+M6</f>
        <v>0.95677083327449997</v>
      </c>
      <c r="M13" s="327" t="str">
        <f>+'Resumen  - Se oculta 2,0'!B42</f>
        <v>PROACTIVO</v>
      </c>
      <c r="N13" s="99"/>
      <c r="O13" s="99"/>
      <c r="P13" s="99"/>
      <c r="Q13" s="99"/>
      <c r="R13" s="99"/>
      <c r="S13" s="99"/>
      <c r="T13" s="99"/>
      <c r="U13" s="99"/>
      <c r="V13" s="99"/>
      <c r="W13" s="99"/>
      <c r="X13" s="99"/>
      <c r="Y13" s="99"/>
      <c r="Z13" s="99"/>
      <c r="AA13" s="99"/>
      <c r="AB13" s="99"/>
      <c r="AC13" s="99"/>
      <c r="AD13" s="99"/>
      <c r="AE13" s="99"/>
      <c r="AF13" s="99"/>
      <c r="AG13" s="99"/>
      <c r="AH13" s="99"/>
    </row>
    <row r="14" spans="1:34" s="94" customFormat="1" ht="25.5" customHeight="1" x14ac:dyDescent="0.25">
      <c r="A14" s="99"/>
      <c r="B14" s="116">
        <f t="shared" si="2"/>
        <v>10</v>
      </c>
      <c r="C14" s="103" t="s">
        <v>1590</v>
      </c>
      <c r="D14" s="104" t="str">
        <f>+IDP!C43</f>
        <v>RECHAZOS</v>
      </c>
      <c r="E14" s="99"/>
      <c r="F14" s="109">
        <f>COUNTIF(IDP!H:H,'Condicionales 2.0'!C14)</f>
        <v>2</v>
      </c>
      <c r="G14" s="109">
        <f>SUMIF(IDP!H:H,'Condicionales 2.0'!C14,IDP!F:F)</f>
        <v>2</v>
      </c>
      <c r="H14" s="139">
        <f t="shared" si="0"/>
        <v>1</v>
      </c>
      <c r="I14" s="140">
        <f t="shared" si="1"/>
        <v>1</v>
      </c>
      <c r="J14" s="99"/>
      <c r="K14" s="99"/>
      <c r="L14" s="99"/>
      <c r="M14" s="100"/>
      <c r="N14" s="99"/>
      <c r="O14" s="99"/>
      <c r="P14" s="99"/>
      <c r="Q14" s="99"/>
      <c r="R14" s="99"/>
      <c r="S14" s="99"/>
      <c r="T14" s="99"/>
      <c r="U14" s="99"/>
      <c r="V14" s="99"/>
      <c r="W14" s="99"/>
      <c r="X14" s="99"/>
      <c r="Y14" s="99"/>
      <c r="Z14" s="99"/>
      <c r="AA14" s="99"/>
      <c r="AB14" s="99"/>
      <c r="AC14" s="99"/>
      <c r="AD14" s="99"/>
      <c r="AE14" s="99"/>
      <c r="AF14" s="99"/>
      <c r="AG14" s="99"/>
      <c r="AH14" s="99"/>
    </row>
    <row r="15" spans="1:34" s="94" customFormat="1" ht="25.5" customHeight="1" x14ac:dyDescent="0.25">
      <c r="A15" s="99"/>
      <c r="B15" s="116">
        <f t="shared" si="2"/>
        <v>11</v>
      </c>
      <c r="C15" s="103" t="s">
        <v>1629</v>
      </c>
      <c r="D15" s="104" t="str">
        <f>+IDP!C45</f>
        <v>DEVOLUCIONES DE PRODUCTOS NO APTOS</v>
      </c>
      <c r="E15" s="99"/>
      <c r="F15" s="109">
        <f>COUNTIF(IDP!H:H,'Condicionales 2.0'!C15)</f>
        <v>2</v>
      </c>
      <c r="G15" s="109">
        <f>SUMIF(IDP!H:H,'Condicionales 2.0'!C15,IDP!F:F)</f>
        <v>2</v>
      </c>
      <c r="H15" s="139">
        <f t="shared" si="0"/>
        <v>1</v>
      </c>
      <c r="I15" s="140">
        <f t="shared" si="1"/>
        <v>1</v>
      </c>
      <c r="J15" s="99"/>
      <c r="K15" s="99"/>
      <c r="L15" s="99"/>
      <c r="M15" s="100"/>
      <c r="N15" s="99"/>
      <c r="O15" s="99"/>
      <c r="P15" s="99"/>
      <c r="Q15" s="99"/>
      <c r="R15" s="99"/>
      <c r="S15" s="99"/>
      <c r="T15" s="99"/>
      <c r="U15" s="99"/>
      <c r="V15" s="99"/>
      <c r="W15" s="99"/>
      <c r="X15" s="99"/>
      <c r="Y15" s="99"/>
      <c r="Z15" s="99"/>
      <c r="AA15" s="99"/>
      <c r="AB15" s="99"/>
      <c r="AC15" s="99"/>
      <c r="AD15" s="99"/>
      <c r="AE15" s="99"/>
      <c r="AF15" s="99"/>
      <c r="AG15" s="99"/>
      <c r="AH15" s="99"/>
    </row>
    <row r="16" spans="1:34" s="94" customFormat="1" ht="25.5" customHeight="1" thickBot="1" x14ac:dyDescent="0.3">
      <c r="A16" s="99"/>
      <c r="B16" s="117">
        <f>+B15+1</f>
        <v>12</v>
      </c>
      <c r="C16" s="170" t="s">
        <v>1642</v>
      </c>
      <c r="D16" s="105" t="str">
        <f>+IDP!C60</f>
        <v>CONTROL DE PLAGAS</v>
      </c>
      <c r="E16" s="169"/>
      <c r="F16" s="111">
        <f>COUNTIF(IDP!H:H,'Condicionales 2.0'!C16)</f>
        <v>5</v>
      </c>
      <c r="G16" s="111">
        <f>SUMIF(IDP!H:H,'Condicionales 2.0'!C16,IDP!F:F)</f>
        <v>5</v>
      </c>
      <c r="H16" s="141">
        <f t="shared" si="0"/>
        <v>1</v>
      </c>
      <c r="I16" s="142">
        <f t="shared" si="1"/>
        <v>1</v>
      </c>
      <c r="J16" s="99"/>
      <c r="K16" s="99"/>
      <c r="L16" s="99"/>
      <c r="M16" s="100"/>
      <c r="N16" s="99"/>
      <c r="O16" s="99"/>
      <c r="P16" s="99"/>
      <c r="Q16" s="99"/>
      <c r="R16" s="99"/>
      <c r="S16" s="99"/>
      <c r="T16" s="99"/>
      <c r="U16" s="99"/>
      <c r="V16" s="99"/>
      <c r="W16" s="99"/>
      <c r="X16" s="99"/>
      <c r="Y16" s="99"/>
      <c r="Z16" s="99"/>
      <c r="AA16" s="99"/>
      <c r="AB16" s="99"/>
      <c r="AC16" s="99"/>
      <c r="AD16" s="99"/>
      <c r="AE16" s="99"/>
      <c r="AF16" s="99"/>
      <c r="AG16" s="99"/>
      <c r="AH16" s="99"/>
    </row>
    <row r="17" spans="1:34" s="94" customFormat="1" ht="25.5" customHeight="1" x14ac:dyDescent="0.25">
      <c r="A17" s="99"/>
      <c r="B17" s="99"/>
      <c r="C17" s="99"/>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row>
    <row r="18" spans="1:34" s="94" customFormat="1" ht="25.5" customHeight="1" x14ac:dyDescent="0.25">
      <c r="A18" s="99"/>
      <c r="B18" s="99"/>
      <c r="C18" s="99"/>
      <c r="D18" s="112" t="s">
        <v>1644</v>
      </c>
      <c r="E18" s="99"/>
      <c r="F18" s="112">
        <f>SUM(F5:F16)</f>
        <v>41</v>
      </c>
      <c r="G18" s="112">
        <f>SUM(G5:G16)</f>
        <v>41</v>
      </c>
      <c r="H18" s="139">
        <f>+G18/F18</f>
        <v>1</v>
      </c>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row>
    <row r="19" spans="1:34" s="94" customFormat="1" ht="25.5" customHeight="1" x14ac:dyDescent="0.25">
      <c r="A19" s="99"/>
      <c r="B19" s="99"/>
      <c r="C19" s="99"/>
      <c r="D19" s="112" t="s">
        <v>1645</v>
      </c>
      <c r="E19" s="99"/>
      <c r="F19" s="112">
        <f>+B16</f>
        <v>12</v>
      </c>
      <c r="G19" s="112">
        <f>COUNTIF(H5:H16,1)</f>
        <v>12</v>
      </c>
      <c r="H19" s="139">
        <f>+G19/F19</f>
        <v>1</v>
      </c>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row>
    <row r="20" spans="1:34" s="94" customFormat="1" ht="25.5" customHeight="1" x14ac:dyDescent="0.25">
      <c r="A20" s="99"/>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row>
    <row r="21" spans="1:34" ht="5.25" customHeight="1" x14ac:dyDescent="0.25">
      <c r="A21" s="83"/>
      <c r="B21" s="100"/>
      <c r="C21" s="83"/>
      <c r="D21" s="83"/>
      <c r="E21" s="83"/>
      <c r="F21" s="96"/>
      <c r="G21" s="96"/>
      <c r="H21" s="83"/>
      <c r="I21" s="83"/>
      <c r="J21" s="83"/>
      <c r="K21" s="83"/>
      <c r="L21" s="83"/>
      <c r="M21" s="83"/>
      <c r="N21" s="99"/>
      <c r="O21" s="83"/>
      <c r="P21" s="83"/>
      <c r="Q21" s="83"/>
      <c r="R21" s="83"/>
      <c r="S21" s="83"/>
      <c r="T21" s="83"/>
      <c r="U21" s="83"/>
      <c r="V21" s="83"/>
      <c r="W21" s="83"/>
      <c r="X21" s="83"/>
      <c r="Y21" s="83"/>
      <c r="Z21" s="83"/>
      <c r="AA21" s="83"/>
      <c r="AB21" s="83"/>
      <c r="AC21" s="83"/>
      <c r="AD21" s="83"/>
      <c r="AE21" s="83"/>
      <c r="AF21" s="83"/>
      <c r="AG21" s="83"/>
      <c r="AH21" s="83"/>
    </row>
    <row r="22" spans="1:34" s="94" customFormat="1" ht="34.5" customHeight="1" x14ac:dyDescent="0.25">
      <c r="A22" s="99"/>
      <c r="B22" s="100"/>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row>
    <row r="23" spans="1:34" x14ac:dyDescent="0.25">
      <c r="A23" s="83"/>
      <c r="B23" s="100"/>
      <c r="C23" s="83"/>
      <c r="D23" s="83"/>
      <c r="E23" s="83"/>
      <c r="F23" s="96"/>
      <c r="G23" s="96"/>
      <c r="H23" s="83"/>
      <c r="I23" s="83"/>
      <c r="J23" s="83"/>
      <c r="K23" s="83"/>
      <c r="L23" s="83"/>
      <c r="M23" s="83"/>
      <c r="N23" s="99"/>
      <c r="O23" s="83"/>
      <c r="P23" s="83"/>
      <c r="Q23" s="83"/>
      <c r="R23" s="83"/>
      <c r="S23" s="83"/>
      <c r="T23" s="83"/>
      <c r="U23" s="83"/>
      <c r="V23" s="83"/>
      <c r="W23" s="83"/>
      <c r="X23" s="83"/>
      <c r="Y23" s="83"/>
      <c r="Z23" s="83"/>
      <c r="AA23" s="83"/>
      <c r="AB23" s="83"/>
      <c r="AC23" s="83"/>
      <c r="AD23" s="83"/>
      <c r="AE23" s="83"/>
      <c r="AF23" s="83"/>
      <c r="AG23" s="83"/>
      <c r="AH23" s="83"/>
    </row>
    <row r="24" spans="1:34" x14ac:dyDescent="0.25">
      <c r="A24" s="83"/>
      <c r="B24" s="100"/>
      <c r="C24" s="83"/>
      <c r="D24" s="83"/>
      <c r="E24" s="83"/>
      <c r="F24" s="96"/>
      <c r="G24" s="96"/>
      <c r="H24" s="83"/>
      <c r="I24" s="83"/>
      <c r="J24" s="83"/>
      <c r="K24" s="83"/>
      <c r="L24" s="83"/>
      <c r="M24" s="83"/>
      <c r="N24" s="99"/>
      <c r="O24" s="83"/>
      <c r="P24" s="83"/>
      <c r="Q24" s="83"/>
      <c r="R24" s="83"/>
      <c r="S24" s="83"/>
      <c r="T24" s="83"/>
      <c r="U24" s="83"/>
      <c r="V24" s="83"/>
      <c r="W24" s="83"/>
      <c r="X24" s="83"/>
      <c r="Y24" s="83"/>
      <c r="Z24" s="83"/>
      <c r="AA24" s="83"/>
      <c r="AB24" s="83"/>
      <c r="AC24" s="83"/>
      <c r="AD24" s="83"/>
      <c r="AE24" s="83"/>
      <c r="AF24" s="83"/>
      <c r="AG24" s="83"/>
      <c r="AH24" s="83"/>
    </row>
    <row r="25" spans="1:34" x14ac:dyDescent="0.25">
      <c r="A25" s="83"/>
      <c r="B25" s="100"/>
      <c r="C25" s="83"/>
      <c r="D25" s="83"/>
      <c r="E25" s="83"/>
      <c r="F25" s="96"/>
      <c r="G25" s="96"/>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row>
    <row r="26" spans="1:34" x14ac:dyDescent="0.25">
      <c r="A26" s="83"/>
      <c r="B26" s="100"/>
      <c r="C26" s="83"/>
      <c r="D26" s="83"/>
      <c r="E26" s="83"/>
      <c r="F26" s="96"/>
      <c r="G26" s="96"/>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row>
    <row r="27" spans="1:34" x14ac:dyDescent="0.25">
      <c r="A27" s="83"/>
      <c r="B27" s="100"/>
      <c r="C27" s="83"/>
      <c r="D27" s="83"/>
      <c r="E27" s="83"/>
      <c r="F27" s="96"/>
      <c r="G27" s="96"/>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row>
    <row r="28" spans="1:34" x14ac:dyDescent="0.25">
      <c r="A28" s="83"/>
      <c r="B28" s="100"/>
      <c r="C28" s="83"/>
      <c r="D28" s="83"/>
      <c r="E28" s="83"/>
      <c r="F28" s="96"/>
      <c r="G28" s="96"/>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row>
    <row r="29" spans="1:34" x14ac:dyDescent="0.25">
      <c r="A29" s="83"/>
      <c r="B29" s="100"/>
      <c r="C29" s="83"/>
      <c r="D29" s="83"/>
      <c r="E29" s="83"/>
      <c r="F29" s="96"/>
      <c r="G29" s="96"/>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row>
    <row r="30" spans="1:34" x14ac:dyDescent="0.25">
      <c r="A30" s="83"/>
      <c r="B30" s="100"/>
      <c r="C30" s="83"/>
      <c r="D30" s="83"/>
      <c r="E30" s="83"/>
      <c r="F30" s="96"/>
      <c r="G30" s="96"/>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row>
    <row r="31" spans="1:34" x14ac:dyDescent="0.25">
      <c r="A31" s="83"/>
      <c r="B31" s="100"/>
      <c r="C31" s="83"/>
      <c r="D31" s="83"/>
      <c r="E31" s="83"/>
      <c r="F31" s="96"/>
      <c r="G31" s="96"/>
      <c r="H31" s="83"/>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row>
    <row r="32" spans="1:34" x14ac:dyDescent="0.25">
      <c r="A32" s="83"/>
      <c r="B32" s="100"/>
      <c r="C32" s="83"/>
      <c r="D32" s="83"/>
      <c r="E32" s="83"/>
      <c r="F32" s="96"/>
      <c r="G32" s="96"/>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row>
    <row r="33" spans="1:34" x14ac:dyDescent="0.25">
      <c r="A33" s="83"/>
      <c r="B33" s="100"/>
      <c r="C33" s="83"/>
      <c r="D33" s="83"/>
      <c r="E33" s="83"/>
      <c r="F33" s="96"/>
      <c r="G33" s="96"/>
      <c r="H33" s="83"/>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3"/>
    </row>
    <row r="34" spans="1:34" x14ac:dyDescent="0.25">
      <c r="A34" s="83"/>
      <c r="B34" s="100"/>
      <c r="C34" s="83"/>
      <c r="D34" s="83"/>
      <c r="E34" s="83"/>
      <c r="F34" s="96"/>
      <c r="G34" s="96"/>
      <c r="H34" s="83"/>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row>
    <row r="35" spans="1:34" x14ac:dyDescent="0.25">
      <c r="A35" s="83"/>
      <c r="B35" s="100"/>
      <c r="C35" s="83"/>
      <c r="D35" s="83"/>
      <c r="E35" s="83"/>
      <c r="F35" s="96"/>
      <c r="G35" s="96"/>
      <c r="H35" s="83"/>
      <c r="I35" s="83"/>
      <c r="J35" s="83"/>
      <c r="K35" s="83"/>
      <c r="L35" s="83"/>
      <c r="M35" s="83"/>
      <c r="N35" s="83"/>
      <c r="O35" s="83"/>
      <c r="P35" s="83"/>
      <c r="Q35" s="83"/>
      <c r="R35" s="83"/>
      <c r="S35" s="83"/>
      <c r="T35" s="83"/>
      <c r="U35" s="83"/>
      <c r="V35" s="83"/>
      <c r="W35" s="83"/>
      <c r="X35" s="83"/>
      <c r="Y35" s="83"/>
      <c r="Z35" s="83"/>
      <c r="AA35" s="83"/>
      <c r="AB35" s="83"/>
      <c r="AC35" s="83"/>
      <c r="AD35" s="83"/>
      <c r="AE35" s="83"/>
      <c r="AF35" s="83"/>
      <c r="AG35" s="83"/>
      <c r="AH35" s="83"/>
    </row>
    <row r="36" spans="1:34" x14ac:dyDescent="0.25">
      <c r="A36" s="83"/>
      <c r="B36" s="100"/>
      <c r="C36" s="83"/>
      <c r="D36" s="83"/>
      <c r="E36" s="83"/>
      <c r="F36" s="96"/>
      <c r="G36" s="96"/>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row>
    <row r="37" spans="1:34" x14ac:dyDescent="0.25">
      <c r="A37" s="83"/>
      <c r="B37" s="100"/>
      <c r="C37" s="83"/>
      <c r="D37" s="83"/>
      <c r="E37" s="83"/>
      <c r="F37" s="96"/>
      <c r="G37" s="96"/>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row>
    <row r="38" spans="1:34" x14ac:dyDescent="0.25">
      <c r="A38" s="83"/>
      <c r="B38" s="100"/>
      <c r="C38" s="83"/>
      <c r="D38" s="83"/>
      <c r="E38" s="83"/>
      <c r="F38" s="96"/>
      <c r="G38" s="96"/>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row>
    <row r="39" spans="1:34" x14ac:dyDescent="0.25">
      <c r="A39" s="83"/>
      <c r="B39" s="100"/>
      <c r="C39" s="83"/>
      <c r="D39" s="83"/>
      <c r="E39" s="83"/>
      <c r="F39" s="96"/>
      <c r="G39" s="96"/>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row>
    <row r="40" spans="1:34" x14ac:dyDescent="0.25">
      <c r="A40" s="83"/>
      <c r="B40" s="100"/>
      <c r="C40" s="83"/>
      <c r="D40" s="83"/>
      <c r="E40" s="83"/>
      <c r="F40" s="96"/>
      <c r="G40" s="96"/>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row>
    <row r="41" spans="1:34" x14ac:dyDescent="0.25">
      <c r="A41" s="83"/>
      <c r="B41" s="100"/>
      <c r="C41" s="83"/>
      <c r="D41" s="83"/>
      <c r="E41" s="83"/>
      <c r="F41" s="96"/>
      <c r="G41" s="96"/>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row>
    <row r="42" spans="1:34" x14ac:dyDescent="0.25">
      <c r="A42" s="83"/>
      <c r="B42" s="100"/>
      <c r="C42" s="83"/>
      <c r="D42" s="83"/>
      <c r="E42" s="83"/>
      <c r="F42" s="96"/>
      <c r="G42" s="96"/>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row>
    <row r="43" spans="1:34" x14ac:dyDescent="0.25">
      <c r="A43" s="83"/>
      <c r="B43" s="100"/>
      <c r="C43" s="83"/>
      <c r="D43" s="83"/>
      <c r="E43" s="83"/>
      <c r="F43" s="96"/>
      <c r="G43" s="96"/>
      <c r="H43" s="83"/>
      <c r="I43" s="83"/>
      <c r="J43" s="83"/>
      <c r="K43" s="83"/>
      <c r="L43" s="83"/>
      <c r="M43" s="83"/>
      <c r="N43" s="83"/>
      <c r="O43" s="83"/>
      <c r="P43" s="83"/>
      <c r="Q43" s="83"/>
      <c r="R43" s="83"/>
      <c r="S43" s="83"/>
      <c r="T43" s="83"/>
      <c r="U43" s="83"/>
      <c r="V43" s="83"/>
      <c r="W43" s="83"/>
      <c r="X43" s="83"/>
      <c r="Y43" s="83"/>
      <c r="Z43" s="83"/>
      <c r="AA43" s="83"/>
      <c r="AB43" s="83"/>
      <c r="AC43" s="83"/>
      <c r="AD43" s="83"/>
      <c r="AE43" s="83"/>
      <c r="AF43" s="83"/>
      <c r="AG43" s="83"/>
      <c r="AH43" s="83"/>
    </row>
    <row r="44" spans="1:34" x14ac:dyDescent="0.25">
      <c r="A44" s="83"/>
      <c r="B44" s="100"/>
      <c r="C44" s="83"/>
      <c r="D44" s="83"/>
      <c r="E44" s="83"/>
      <c r="F44" s="96"/>
      <c r="G44" s="96"/>
      <c r="H44" s="83"/>
      <c r="I44" s="83"/>
      <c r="J44" s="83"/>
      <c r="K44" s="83"/>
      <c r="L44" s="83"/>
      <c r="M44" s="83"/>
      <c r="N44" s="83"/>
      <c r="O44" s="83"/>
      <c r="P44" s="83"/>
      <c r="Q44" s="83"/>
      <c r="R44" s="83"/>
      <c r="S44" s="83"/>
      <c r="T44" s="83"/>
      <c r="U44" s="83"/>
      <c r="V44" s="83"/>
      <c r="W44" s="83"/>
      <c r="X44" s="83"/>
      <c r="Y44" s="83"/>
      <c r="Z44" s="83"/>
      <c r="AA44" s="83"/>
      <c r="AB44" s="83"/>
      <c r="AC44" s="83"/>
      <c r="AD44" s="83"/>
      <c r="AE44" s="83"/>
      <c r="AF44" s="83"/>
      <c r="AG44" s="83"/>
      <c r="AH44" s="83"/>
    </row>
    <row r="45" spans="1:34" x14ac:dyDescent="0.25">
      <c r="A45" s="83"/>
      <c r="B45" s="100"/>
      <c r="C45" s="83"/>
      <c r="D45" s="83"/>
      <c r="E45" s="83"/>
      <c r="F45" s="96"/>
      <c r="G45" s="96"/>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row>
    <row r="46" spans="1:34" x14ac:dyDescent="0.25">
      <c r="A46" s="83"/>
      <c r="B46" s="100"/>
      <c r="C46" s="83"/>
      <c r="D46" s="83"/>
      <c r="E46" s="83"/>
      <c r="F46" s="96"/>
      <c r="G46" s="96"/>
      <c r="H46" s="83"/>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row>
    <row r="47" spans="1:34" x14ac:dyDescent="0.25">
      <c r="A47" s="83"/>
      <c r="B47" s="100"/>
      <c r="C47" s="83"/>
      <c r="D47" s="83"/>
      <c r="E47" s="83"/>
      <c r="F47" s="96"/>
      <c r="G47" s="96"/>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row>
    <row r="48" spans="1:34" x14ac:dyDescent="0.25">
      <c r="A48" s="83"/>
      <c r="B48" s="100"/>
      <c r="C48" s="83"/>
      <c r="D48" s="83"/>
      <c r="E48" s="83"/>
      <c r="F48" s="96"/>
      <c r="G48" s="96"/>
      <c r="H48" s="83"/>
      <c r="I48" s="83"/>
      <c r="J48" s="83"/>
      <c r="K48" s="83"/>
      <c r="L48" s="83"/>
      <c r="M48" s="83"/>
      <c r="N48" s="83"/>
      <c r="O48" s="83"/>
      <c r="P48" s="83"/>
      <c r="Q48" s="83"/>
      <c r="R48" s="83"/>
      <c r="S48" s="83"/>
      <c r="T48" s="83"/>
      <c r="U48" s="83"/>
      <c r="V48" s="83"/>
      <c r="W48" s="83"/>
      <c r="X48" s="83"/>
      <c r="Y48" s="83"/>
      <c r="Z48" s="83"/>
      <c r="AA48" s="83"/>
      <c r="AB48" s="83"/>
      <c r="AC48" s="83"/>
      <c r="AD48" s="83"/>
      <c r="AE48" s="83"/>
      <c r="AF48" s="83"/>
      <c r="AG48" s="83"/>
      <c r="AH48" s="83"/>
    </row>
    <row r="49" spans="1:34" x14ac:dyDescent="0.25">
      <c r="A49" s="83"/>
      <c r="B49" s="100"/>
      <c r="C49" s="83"/>
      <c r="D49" s="83"/>
      <c r="E49" s="83"/>
      <c r="F49" s="96"/>
      <c r="G49" s="96"/>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row>
    <row r="50" spans="1:34" x14ac:dyDescent="0.25">
      <c r="A50" s="83"/>
      <c r="B50" s="100"/>
      <c r="C50" s="83"/>
      <c r="D50" s="83"/>
      <c r="E50" s="83"/>
      <c r="F50" s="96"/>
      <c r="G50" s="96"/>
      <c r="H50" s="83"/>
      <c r="I50" s="83"/>
      <c r="J50" s="83"/>
      <c r="K50" s="83"/>
      <c r="L50" s="83"/>
      <c r="M50" s="83"/>
      <c r="N50" s="83"/>
      <c r="O50" s="83"/>
      <c r="P50" s="83"/>
      <c r="Q50" s="83"/>
      <c r="R50" s="83"/>
      <c r="S50" s="83"/>
      <c r="T50" s="83"/>
      <c r="U50" s="83"/>
      <c r="V50" s="83"/>
      <c r="W50" s="83"/>
      <c r="X50" s="83"/>
      <c r="Y50" s="83"/>
      <c r="Z50" s="83"/>
      <c r="AA50" s="83"/>
      <c r="AB50" s="83"/>
      <c r="AC50" s="83"/>
      <c r="AD50" s="83"/>
      <c r="AE50" s="83"/>
      <c r="AF50" s="83"/>
      <c r="AG50" s="83"/>
      <c r="AH50" s="83"/>
    </row>
    <row r="51" spans="1:34" x14ac:dyDescent="0.25">
      <c r="A51" s="83"/>
      <c r="B51" s="100"/>
      <c r="C51" s="83"/>
      <c r="D51" s="83"/>
      <c r="E51" s="83"/>
      <c r="F51" s="96"/>
      <c r="G51" s="96"/>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row>
    <row r="52" spans="1:34" x14ac:dyDescent="0.25">
      <c r="A52" s="83"/>
      <c r="B52" s="100"/>
      <c r="C52" s="83"/>
      <c r="D52" s="83"/>
      <c r="E52" s="83"/>
      <c r="F52" s="96"/>
      <c r="G52" s="96"/>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row>
    <row r="53" spans="1:34" x14ac:dyDescent="0.25">
      <c r="A53" s="83"/>
      <c r="B53" s="100"/>
      <c r="C53" s="83"/>
      <c r="D53" s="83"/>
      <c r="E53" s="83"/>
      <c r="F53" s="96"/>
      <c r="G53" s="96"/>
      <c r="H53" s="83"/>
      <c r="I53" s="83"/>
      <c r="J53" s="83"/>
      <c r="K53" s="83"/>
      <c r="L53" s="83"/>
      <c r="M53" s="83"/>
      <c r="N53" s="83"/>
      <c r="O53" s="83"/>
      <c r="P53" s="83"/>
      <c r="Q53" s="83"/>
      <c r="R53" s="83"/>
      <c r="S53" s="83"/>
      <c r="T53" s="83"/>
      <c r="U53" s="83"/>
      <c r="V53" s="83"/>
      <c r="W53" s="83"/>
      <c r="X53" s="83"/>
      <c r="Y53" s="83"/>
      <c r="Z53" s="83"/>
      <c r="AA53" s="83"/>
      <c r="AB53" s="83"/>
      <c r="AC53" s="83"/>
      <c r="AD53" s="83"/>
      <c r="AE53" s="83"/>
      <c r="AF53" s="83"/>
      <c r="AG53" s="83"/>
      <c r="AH53" s="83"/>
    </row>
    <row r="54" spans="1:34" x14ac:dyDescent="0.25">
      <c r="A54" s="83"/>
      <c r="B54" s="100"/>
      <c r="C54" s="83"/>
      <c r="D54" s="83"/>
      <c r="E54" s="83"/>
      <c r="F54" s="96"/>
      <c r="G54" s="96"/>
      <c r="H54" s="83"/>
      <c r="I54" s="83"/>
      <c r="J54" s="83"/>
      <c r="K54" s="83"/>
      <c r="L54" s="83"/>
      <c r="M54" s="83"/>
      <c r="N54" s="83"/>
      <c r="O54" s="83"/>
      <c r="P54" s="83"/>
      <c r="Q54" s="83"/>
      <c r="R54" s="83"/>
      <c r="S54" s="83"/>
      <c r="T54" s="83"/>
      <c r="U54" s="83"/>
      <c r="V54" s="83"/>
      <c r="W54" s="83"/>
      <c r="X54" s="83"/>
      <c r="Y54" s="83"/>
      <c r="Z54" s="83"/>
      <c r="AA54" s="83"/>
      <c r="AB54" s="83"/>
      <c r="AC54" s="83"/>
      <c r="AD54" s="83"/>
      <c r="AE54" s="83"/>
      <c r="AF54" s="83"/>
      <c r="AG54" s="83"/>
      <c r="AH54" s="83"/>
    </row>
    <row r="55" spans="1:34" x14ac:dyDescent="0.25">
      <c r="A55" s="83"/>
      <c r="B55" s="100"/>
      <c r="C55" s="83"/>
      <c r="D55" s="83"/>
      <c r="E55" s="83"/>
      <c r="F55" s="96"/>
      <c r="G55" s="96"/>
      <c r="H55" s="83"/>
      <c r="I55" s="83"/>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row>
    <row r="56" spans="1:34" x14ac:dyDescent="0.25">
      <c r="A56" s="83"/>
      <c r="B56" s="100"/>
      <c r="C56" s="83"/>
      <c r="D56" s="83"/>
      <c r="E56" s="83"/>
      <c r="F56" s="96"/>
      <c r="G56" s="96"/>
      <c r="H56" s="83"/>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row>
    <row r="57" spans="1:34" x14ac:dyDescent="0.25">
      <c r="A57" s="83"/>
      <c r="B57" s="100"/>
      <c r="C57" s="83"/>
      <c r="D57" s="83"/>
      <c r="E57" s="83"/>
      <c r="F57" s="96"/>
      <c r="G57" s="96"/>
      <c r="H57" s="83"/>
      <c r="I57" s="83"/>
      <c r="J57" s="83"/>
      <c r="K57" s="83"/>
      <c r="L57" s="83"/>
      <c r="M57" s="83"/>
      <c r="N57" s="83"/>
      <c r="O57" s="83"/>
      <c r="P57" s="83"/>
      <c r="Q57" s="83"/>
      <c r="R57" s="83"/>
      <c r="S57" s="83"/>
      <c r="T57" s="83"/>
      <c r="U57" s="83"/>
      <c r="V57" s="83"/>
      <c r="W57" s="83"/>
      <c r="X57" s="83"/>
      <c r="Y57" s="83"/>
      <c r="Z57" s="83"/>
      <c r="AA57" s="83"/>
      <c r="AB57" s="83"/>
      <c r="AC57" s="83"/>
      <c r="AD57" s="83"/>
      <c r="AE57" s="83"/>
      <c r="AF57" s="83"/>
      <c r="AG57" s="83"/>
      <c r="AH57" s="83"/>
    </row>
    <row r="58" spans="1:34" x14ac:dyDescent="0.25">
      <c r="A58" s="83"/>
      <c r="B58" s="100"/>
      <c r="C58" s="83"/>
      <c r="D58" s="83"/>
      <c r="E58" s="83"/>
      <c r="F58" s="96"/>
      <c r="G58" s="96"/>
      <c r="H58" s="83"/>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row>
    <row r="59" spans="1:34" x14ac:dyDescent="0.25">
      <c r="A59" s="83"/>
      <c r="B59" s="100"/>
      <c r="C59" s="83"/>
      <c r="D59" s="83"/>
      <c r="E59" s="83"/>
      <c r="F59" s="96"/>
      <c r="G59" s="96"/>
      <c r="H59" s="83"/>
      <c r="I59" s="83"/>
      <c r="J59" s="83"/>
      <c r="K59" s="83"/>
      <c r="L59" s="83"/>
      <c r="M59" s="83"/>
      <c r="N59" s="83"/>
      <c r="O59" s="83"/>
      <c r="P59" s="83"/>
      <c r="Q59" s="83"/>
      <c r="R59" s="83"/>
      <c r="S59" s="83"/>
      <c r="T59" s="83"/>
      <c r="U59" s="83"/>
      <c r="V59" s="83"/>
      <c r="W59" s="83"/>
      <c r="X59" s="83"/>
      <c r="Y59" s="83"/>
      <c r="Z59" s="83"/>
      <c r="AA59" s="83"/>
      <c r="AB59" s="83"/>
      <c r="AC59" s="83"/>
      <c r="AD59" s="83"/>
      <c r="AE59" s="83"/>
      <c r="AF59" s="83"/>
      <c r="AG59" s="83"/>
      <c r="AH59" s="83"/>
    </row>
    <row r="60" spans="1:34" x14ac:dyDescent="0.25">
      <c r="A60" s="83"/>
      <c r="B60" s="100"/>
      <c r="C60" s="83"/>
      <c r="D60" s="83"/>
      <c r="E60" s="83"/>
      <c r="F60" s="96"/>
      <c r="G60" s="96"/>
      <c r="H60" s="83"/>
      <c r="I60" s="83"/>
      <c r="J60" s="83"/>
      <c r="K60" s="83"/>
      <c r="L60" s="83"/>
      <c r="M60" s="83"/>
      <c r="N60" s="83"/>
      <c r="O60" s="83"/>
      <c r="P60" s="83"/>
      <c r="Q60" s="83"/>
      <c r="R60" s="83"/>
      <c r="S60" s="83"/>
      <c r="T60" s="83"/>
      <c r="U60" s="83"/>
      <c r="V60" s="83"/>
      <c r="W60" s="83"/>
      <c r="X60" s="83"/>
      <c r="Y60" s="83"/>
      <c r="Z60" s="83"/>
      <c r="AA60" s="83"/>
      <c r="AB60" s="83"/>
      <c r="AC60" s="83"/>
      <c r="AD60" s="83"/>
      <c r="AE60" s="83"/>
      <c r="AF60" s="83"/>
      <c r="AG60" s="83"/>
      <c r="AH60" s="83"/>
    </row>
    <row r="61" spans="1:34" x14ac:dyDescent="0.25">
      <c r="O61" s="83"/>
      <c r="P61" s="83"/>
      <c r="Q61" s="83"/>
    </row>
    <row r="62" spans="1:34" x14ac:dyDescent="0.25">
      <c r="O62" s="83"/>
      <c r="P62" s="83"/>
      <c r="Q62" s="83"/>
    </row>
    <row r="63" spans="1:34" x14ac:dyDescent="0.25">
      <c r="O63" s="83"/>
      <c r="P63" s="83"/>
      <c r="Q63" s="83"/>
    </row>
    <row r="64" spans="1:34" x14ac:dyDescent="0.25">
      <c r="O64" s="83"/>
      <c r="P64" s="83"/>
      <c r="Q64" s="83"/>
    </row>
    <row r="65" spans="15:17" x14ac:dyDescent="0.25">
      <c r="O65" s="83"/>
      <c r="P65" s="83"/>
      <c r="Q65" s="83"/>
    </row>
    <row r="66" spans="15:17" x14ac:dyDescent="0.25">
      <c r="O66" s="83"/>
      <c r="P66" s="83"/>
      <c r="Q66" s="83"/>
    </row>
    <row r="67" spans="15:17" x14ac:dyDescent="0.25">
      <c r="O67" s="83"/>
      <c r="P67" s="83"/>
      <c r="Q67" s="83"/>
    </row>
    <row r="68" spans="15:17" x14ac:dyDescent="0.25">
      <c r="O68" s="83"/>
      <c r="P68" s="83"/>
      <c r="Q68" s="83"/>
    </row>
    <row r="69" spans="15:17" x14ac:dyDescent="0.25">
      <c r="O69" s="83"/>
      <c r="P69" s="83"/>
      <c r="Q69" s="83"/>
    </row>
    <row r="70" spans="15:17" x14ac:dyDescent="0.25">
      <c r="O70" s="83"/>
      <c r="P70" s="83"/>
      <c r="Q70" s="83"/>
    </row>
    <row r="71" spans="15:17" x14ac:dyDescent="0.25">
      <c r="O71" s="83"/>
      <c r="P71" s="83"/>
      <c r="Q71" s="83"/>
    </row>
    <row r="72" spans="15:17" x14ac:dyDescent="0.25">
      <c r="O72" s="83"/>
      <c r="P72" s="83"/>
      <c r="Q72" s="83"/>
    </row>
    <row r="73" spans="15:17" x14ac:dyDescent="0.25">
      <c r="O73" s="83"/>
      <c r="P73" s="83"/>
      <c r="Q73" s="83"/>
    </row>
    <row r="74" spans="15:17" x14ac:dyDescent="0.25">
      <c r="O74" s="83"/>
      <c r="P74" s="83"/>
      <c r="Q74" s="83"/>
    </row>
    <row r="75" spans="15:17" x14ac:dyDescent="0.25">
      <c r="O75" s="83"/>
      <c r="P75" s="83"/>
      <c r="Q75" s="83"/>
    </row>
    <row r="76" spans="15:17" x14ac:dyDescent="0.25">
      <c r="O76" s="83"/>
      <c r="P76" s="83"/>
      <c r="Q76" s="83"/>
    </row>
    <row r="77" spans="15:17" x14ac:dyDescent="0.25">
      <c r="O77" s="83"/>
      <c r="P77" s="83"/>
      <c r="Q77" s="83"/>
    </row>
    <row r="78" spans="15:17" x14ac:dyDescent="0.25">
      <c r="O78" s="83"/>
      <c r="P78" s="83"/>
      <c r="Q78" s="83"/>
    </row>
    <row r="79" spans="15:17" x14ac:dyDescent="0.25">
      <c r="O79" s="83"/>
      <c r="P79" s="83"/>
      <c r="Q79" s="83"/>
    </row>
  </sheetData>
  <mergeCells count="2">
    <mergeCell ref="F2:H2"/>
    <mergeCell ref="L2:O2"/>
  </mergeCells>
  <conditionalFormatting sqref="H5:H16">
    <cfRule type="dataBar" priority="2">
      <dataBar>
        <cfvo type="min"/>
        <cfvo type="max"/>
        <color rgb="FFFFB628"/>
      </dataBar>
      <extLst>
        <ext xmlns:x14="http://schemas.microsoft.com/office/spreadsheetml/2009/9/main" uri="{B025F937-C7B1-47D3-B67F-A62EFF666E3E}">
          <x14:id>{B6A4D33F-EDC5-4A11-A6FC-446C245BFA72}</x14:id>
        </ext>
      </extLst>
    </cfRule>
  </conditionalFormatting>
  <conditionalFormatting sqref="H18:H19">
    <cfRule type="dataBar" priority="1">
      <dataBar>
        <cfvo type="min"/>
        <cfvo type="max"/>
        <color rgb="FFFFB628"/>
      </dataBar>
      <extLst>
        <ext xmlns:x14="http://schemas.microsoft.com/office/spreadsheetml/2009/9/main" uri="{B025F937-C7B1-47D3-B67F-A62EFF666E3E}">
          <x14:id>{8EB55659-DC95-4D7C-9352-08EA4B7C7E94}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6A4D33F-EDC5-4A11-A6FC-446C245BFA72}">
            <x14:dataBar minLength="0" maxLength="100" border="1" negativeBarBorderColorSameAsPositive="0">
              <x14:cfvo type="autoMin"/>
              <x14:cfvo type="autoMax"/>
              <x14:borderColor rgb="FFFFB628"/>
              <x14:negativeFillColor rgb="FFFF0000"/>
              <x14:negativeBorderColor rgb="FFFF0000"/>
              <x14:axisColor rgb="FF000000"/>
            </x14:dataBar>
          </x14:cfRule>
          <xm:sqref>H5:H16</xm:sqref>
        </x14:conditionalFormatting>
        <x14:conditionalFormatting xmlns:xm="http://schemas.microsoft.com/office/excel/2006/main">
          <x14:cfRule type="dataBar" id="{8EB55659-DC95-4D7C-9352-08EA4B7C7E94}">
            <x14:dataBar minLength="0" maxLength="100" border="1" negativeBarBorderColorSameAsPositive="0">
              <x14:cfvo type="autoMin"/>
              <x14:cfvo type="autoMax"/>
              <x14:borderColor rgb="FFFFB628"/>
              <x14:negativeFillColor rgb="FFFF0000"/>
              <x14:negativeBorderColor rgb="FFFF0000"/>
              <x14:axisColor rgb="FF000000"/>
            </x14:dataBar>
          </x14:cfRule>
          <xm:sqref>H18:H19</xm:sqref>
        </x14:conditionalFormatting>
        <x14:conditionalFormatting xmlns:xm="http://schemas.microsoft.com/office/excel/2006/main">
          <x14:cfRule type="iconSet" priority="3" id="{5D891DA9-3BDF-483B-97C7-BA086E70C121}">
            <x14:iconSet iconSet="3Symbols2" showValue="0" custom="1">
              <x14:cfvo type="percent">
                <xm:f>0</xm:f>
              </x14:cfvo>
              <x14:cfvo type="num" gte="0">
                <xm:f>0</xm:f>
              </x14:cfvo>
              <x14:cfvo type="num">
                <xm:f>1</xm:f>
              </x14:cfvo>
              <x14:cfIcon iconSet="3Symbols" iconId="0"/>
              <x14:cfIcon iconSet="3Symbols" iconId="0"/>
              <x14:cfIcon iconSet="3Symbols" iconId="2"/>
            </x14:iconSet>
          </x14:cfRule>
          <xm:sqref>I5:I16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3CA67-F8A6-40AD-900F-BE54277A81CD}">
  <sheetPr>
    <tabColor rgb="FF00B0F0"/>
  </sheetPr>
  <dimension ref="A1:Y67"/>
  <sheetViews>
    <sheetView showGridLines="0" zoomScale="70" zoomScaleNormal="70" workbookViewId="0">
      <pane xSplit="2" ySplit="6" topLeftCell="C7" activePane="bottomRight" state="frozen"/>
      <selection activeCell="E30" sqref="E30"/>
      <selection pane="topRight" activeCell="E30" sqref="E30"/>
      <selection pane="bottomLeft" activeCell="E30" sqref="E30"/>
      <selection pane="bottomRight" activeCell="I61" sqref="I61"/>
    </sheetView>
  </sheetViews>
  <sheetFormatPr baseColWidth="10" defaultColWidth="11" defaultRowHeight="15.75" outlineLevelRow="1" outlineLevelCol="1" x14ac:dyDescent="0.25"/>
  <cols>
    <col min="1" max="1" width="4.375" style="8" bestFit="1" customWidth="1"/>
    <col min="2" max="2" width="8.125" style="19" customWidth="1"/>
    <col min="3" max="3" width="31.625" style="1" bestFit="1" customWidth="1"/>
    <col min="4" max="4" width="8.625" style="9" customWidth="1"/>
    <col min="5" max="5" width="79.125" customWidth="1"/>
    <col min="6" max="6" width="14.75" style="1" customWidth="1"/>
    <col min="7" max="7" width="21.5" style="1" customWidth="1"/>
    <col min="8" max="8" width="9.125" style="1" customWidth="1"/>
    <col min="9" max="9" width="29" style="1" customWidth="1"/>
    <col min="10" max="10" width="3.375" customWidth="1"/>
    <col min="11" max="11" width="8.875" style="1" customWidth="1"/>
    <col min="12" max="12" width="10.625" style="1" customWidth="1"/>
    <col min="13" max="13" width="3.875" customWidth="1"/>
    <col min="14" max="14" width="20.625" customWidth="1" outlineLevel="1"/>
    <col min="15" max="15" width="10" style="1" customWidth="1" outlineLevel="1"/>
  </cols>
  <sheetData>
    <row r="1" spans="1:25" hidden="1" x14ac:dyDescent="0.25">
      <c r="F1" s="153"/>
      <c r="Y1">
        <v>0</v>
      </c>
    </row>
    <row r="2" spans="1:25" ht="36" customHeight="1" x14ac:dyDescent="0.25">
      <c r="F2" s="50" t="s">
        <v>853</v>
      </c>
      <c r="G2" s="240"/>
      <c r="J2" s="1"/>
      <c r="K2" s="50" t="s">
        <v>854</v>
      </c>
      <c r="Y2">
        <v>1</v>
      </c>
    </row>
    <row r="3" spans="1:25" ht="21.75" customHeight="1" x14ac:dyDescent="0.5">
      <c r="B3" s="39"/>
      <c r="D3" s="39"/>
      <c r="E3" s="49" t="str">
        <f>+B5</f>
        <v>Area de interés : Infraestructura</v>
      </c>
      <c r="F3" s="52">
        <f>+O8+O19+O40+O58+O61</f>
        <v>0.93175000000000019</v>
      </c>
      <c r="G3" s="241"/>
      <c r="K3" s="52">
        <f>+K8*N8+K19*N19+K40*N40+K58*N58+K61*N61</f>
        <v>0.9920000000000001</v>
      </c>
      <c r="N3" s="280" t="s">
        <v>1256</v>
      </c>
      <c r="O3" s="54">
        <v>0.25</v>
      </c>
      <c r="Y3" t="s">
        <v>142</v>
      </c>
    </row>
    <row r="4" spans="1:25" ht="21.75" customHeight="1" x14ac:dyDescent="0.7">
      <c r="B4" s="40"/>
      <c r="E4" s="49" t="s">
        <v>860</v>
      </c>
      <c r="F4" s="52">
        <f>+F3*O3</f>
        <v>0.23293750000000005</v>
      </c>
      <c r="G4" s="335">
        <f>+F4+PLG!F4+GST!F4+IDP!F4</f>
        <v>0.95677083327449997</v>
      </c>
      <c r="K4" s="52">
        <f>+K3*O3</f>
        <v>0.24800000000000003</v>
      </c>
      <c r="L4" s="335">
        <f>+K4+PLG!K4+GST!K4+IDP!K4</f>
        <v>0.95931499994699998</v>
      </c>
      <c r="Y4" t="s">
        <v>1229</v>
      </c>
    </row>
    <row r="5" spans="1:25" ht="36" x14ac:dyDescent="0.55000000000000004">
      <c r="B5" s="67" t="s">
        <v>1336</v>
      </c>
      <c r="E5" s="76"/>
      <c r="N5" s="359" t="s">
        <v>1255</v>
      </c>
      <c r="O5" s="360"/>
      <c r="Y5" t="s">
        <v>1230</v>
      </c>
    </row>
    <row r="6" spans="1:25" ht="18.75" x14ac:dyDescent="0.25">
      <c r="B6" s="49" t="s">
        <v>4</v>
      </c>
      <c r="C6" s="49" t="s">
        <v>153</v>
      </c>
      <c r="D6" s="49"/>
      <c r="E6" s="49" t="s">
        <v>118</v>
      </c>
      <c r="F6" s="50" t="s">
        <v>853</v>
      </c>
      <c r="G6" s="49" t="s">
        <v>1242</v>
      </c>
      <c r="H6" s="49" t="s">
        <v>1725</v>
      </c>
      <c r="I6" s="49" t="s">
        <v>514</v>
      </c>
      <c r="K6" s="50" t="s">
        <v>854</v>
      </c>
      <c r="N6" s="276" t="s">
        <v>1257</v>
      </c>
      <c r="O6" s="277" t="s">
        <v>1258</v>
      </c>
    </row>
    <row r="7" spans="1:25" ht="6" customHeight="1" x14ac:dyDescent="0.25"/>
    <row r="8" spans="1:25" ht="36.75" customHeight="1" x14ac:dyDescent="0.25">
      <c r="B8" s="283">
        <v>1</v>
      </c>
      <c r="C8" s="289" t="s">
        <v>1237</v>
      </c>
      <c r="D8" s="284"/>
      <c r="E8" s="285"/>
      <c r="F8" s="286">
        <f>SUMPRODUCT(F9:F17,N9:N17,O9:O17)</f>
        <v>0.94000000000000006</v>
      </c>
      <c r="G8" s="287"/>
      <c r="H8" s="287"/>
      <c r="I8" s="288"/>
      <c r="K8" s="286">
        <f>SUMPRODUCT(K9:K17,N9:N17,O9:O17)</f>
        <v>1</v>
      </c>
      <c r="N8" s="278">
        <f>+[1]MATRIZ!$G$8</f>
        <v>0.22500000000000001</v>
      </c>
      <c r="O8" s="278">
        <f>+F8*N8</f>
        <v>0.21150000000000002</v>
      </c>
    </row>
    <row r="9" spans="1:25" ht="31.5" hidden="1" customHeight="1" outlineLevel="1" x14ac:dyDescent="0.25">
      <c r="A9" s="8">
        <v>1</v>
      </c>
      <c r="B9" s="41" t="s">
        <v>156</v>
      </c>
      <c r="C9" s="290" t="s">
        <v>1238</v>
      </c>
      <c r="D9" s="42" t="s">
        <v>96</v>
      </c>
      <c r="E9" s="43" t="s">
        <v>1239</v>
      </c>
      <c r="F9" s="190">
        <v>1</v>
      </c>
      <c r="G9" s="399" t="s">
        <v>1243</v>
      </c>
      <c r="H9" s="44"/>
      <c r="I9" s="191"/>
      <c r="K9" s="190">
        <f>+[2]IFT!F9</f>
        <v>1</v>
      </c>
      <c r="N9" s="304">
        <v>0.15</v>
      </c>
      <c r="O9" s="61">
        <v>0.5</v>
      </c>
    </row>
    <row r="10" spans="1:25" hidden="1" outlineLevel="1" x14ac:dyDescent="0.25">
      <c r="A10" s="8">
        <f>A9+1</f>
        <v>2</v>
      </c>
      <c r="B10" s="41" t="s">
        <v>156</v>
      </c>
      <c r="C10" s="291" t="s">
        <v>1238</v>
      </c>
      <c r="D10" s="42" t="s">
        <v>97</v>
      </c>
      <c r="E10" s="43" t="s">
        <v>1240</v>
      </c>
      <c r="F10" s="190">
        <v>1</v>
      </c>
      <c r="G10" s="356"/>
      <c r="H10" s="44"/>
      <c r="I10" s="191"/>
      <c r="K10" s="190">
        <f>+[2]IFT!F10</f>
        <v>1</v>
      </c>
      <c r="N10" s="304">
        <v>0.35</v>
      </c>
      <c r="O10" s="61">
        <v>0.5</v>
      </c>
    </row>
    <row r="11" spans="1:25" hidden="1" outlineLevel="1" x14ac:dyDescent="0.25">
      <c r="A11" s="8">
        <f t="shared" ref="A11:A17" si="0">A10+1</f>
        <v>3</v>
      </c>
      <c r="B11" s="41" t="s">
        <v>156</v>
      </c>
      <c r="C11" s="292" t="s">
        <v>1238</v>
      </c>
      <c r="D11" s="42" t="s">
        <v>519</v>
      </c>
      <c r="E11" s="43" t="s">
        <v>1241</v>
      </c>
      <c r="F11" s="190">
        <v>1</v>
      </c>
      <c r="G11" s="356"/>
      <c r="H11" s="44"/>
      <c r="I11" s="191"/>
      <c r="K11" s="190">
        <f>+[2]IFT!F11</f>
        <v>1</v>
      </c>
      <c r="N11" s="304">
        <v>0.3</v>
      </c>
      <c r="O11" s="61">
        <v>0.5</v>
      </c>
    </row>
    <row r="12" spans="1:25" hidden="1" outlineLevel="1" x14ac:dyDescent="0.25">
      <c r="A12" s="8">
        <f t="shared" si="0"/>
        <v>4</v>
      </c>
      <c r="B12" s="41" t="s">
        <v>156</v>
      </c>
      <c r="C12" s="292" t="s">
        <v>1238</v>
      </c>
      <c r="D12" s="42" t="s">
        <v>520</v>
      </c>
      <c r="E12" s="43" t="s">
        <v>51</v>
      </c>
      <c r="F12" s="190">
        <v>1</v>
      </c>
      <c r="G12" s="401"/>
      <c r="H12" s="44"/>
      <c r="I12" s="191"/>
      <c r="K12" s="190">
        <f>+[2]IFT!F12</f>
        <v>1</v>
      </c>
      <c r="N12" s="304">
        <v>0.2</v>
      </c>
      <c r="O12" s="61">
        <v>0.5</v>
      </c>
    </row>
    <row r="13" spans="1:25" ht="94.5" hidden="1" outlineLevel="1" x14ac:dyDescent="0.25">
      <c r="A13" s="8">
        <f t="shared" si="0"/>
        <v>5</v>
      </c>
      <c r="B13" s="41" t="s">
        <v>322</v>
      </c>
      <c r="C13" s="293" t="s">
        <v>119</v>
      </c>
      <c r="D13" s="42" t="s">
        <v>98</v>
      </c>
      <c r="E13" s="43" t="s">
        <v>1244</v>
      </c>
      <c r="F13" s="190">
        <v>1</v>
      </c>
      <c r="G13" s="42" t="s">
        <v>1245</v>
      </c>
      <c r="H13" s="44" t="s">
        <v>1301</v>
      </c>
      <c r="I13" s="191"/>
      <c r="K13" s="190">
        <f>+[2]IFT!F13</f>
        <v>1</v>
      </c>
      <c r="N13" s="304">
        <v>1</v>
      </c>
      <c r="O13" s="61">
        <v>0.35</v>
      </c>
    </row>
    <row r="14" spans="1:25" hidden="1" outlineLevel="1" x14ac:dyDescent="0.25">
      <c r="A14" s="8">
        <f t="shared" si="0"/>
        <v>6</v>
      </c>
      <c r="B14" s="41" t="s">
        <v>323</v>
      </c>
      <c r="C14" s="292" t="s">
        <v>1246</v>
      </c>
      <c r="D14" s="42" t="s">
        <v>791</v>
      </c>
      <c r="E14" s="43" t="s">
        <v>1250</v>
      </c>
      <c r="F14" s="190">
        <v>1</v>
      </c>
      <c r="G14" s="355" t="s">
        <v>1253</v>
      </c>
      <c r="H14" s="44"/>
      <c r="I14" s="191"/>
      <c r="K14" s="190">
        <f>+[2]IFT!F14</f>
        <v>1</v>
      </c>
      <c r="N14" s="304">
        <v>0.3</v>
      </c>
      <c r="O14" s="61">
        <v>0.15</v>
      </c>
    </row>
    <row r="15" spans="1:25" ht="31.5" hidden="1" outlineLevel="1" x14ac:dyDescent="0.25">
      <c r="A15" s="8">
        <f t="shared" si="0"/>
        <v>7</v>
      </c>
      <c r="B15" s="41" t="s">
        <v>323</v>
      </c>
      <c r="C15" s="291" t="s">
        <v>1246</v>
      </c>
      <c r="D15" s="42" t="s">
        <v>1247</v>
      </c>
      <c r="E15" s="43" t="s">
        <v>1251</v>
      </c>
      <c r="F15" s="190">
        <v>0</v>
      </c>
      <c r="G15" s="356"/>
      <c r="H15" s="44"/>
      <c r="I15" s="191" t="s">
        <v>1770</v>
      </c>
      <c r="K15" s="190">
        <f>+[2]IFT!F15</f>
        <v>1</v>
      </c>
      <c r="N15" s="304">
        <v>0.2</v>
      </c>
      <c r="O15" s="61">
        <v>0.15</v>
      </c>
    </row>
    <row r="16" spans="1:25" hidden="1" outlineLevel="1" x14ac:dyDescent="0.25">
      <c r="A16" s="8">
        <f t="shared" si="0"/>
        <v>8</v>
      </c>
      <c r="B16" s="41" t="s">
        <v>323</v>
      </c>
      <c r="C16" s="292" t="s">
        <v>1246</v>
      </c>
      <c r="D16" s="42" t="s">
        <v>1248</v>
      </c>
      <c r="E16" s="43" t="s">
        <v>52</v>
      </c>
      <c r="F16" s="190">
        <v>1</v>
      </c>
      <c r="G16" s="356"/>
      <c r="H16" s="44"/>
      <c r="I16" s="191"/>
      <c r="K16" s="190">
        <f>+[2]IFT!F16</f>
        <v>1</v>
      </c>
      <c r="N16" s="304">
        <v>0.3</v>
      </c>
      <c r="O16" s="61">
        <v>0.15</v>
      </c>
    </row>
    <row r="17" spans="1:15" ht="47.25" hidden="1" outlineLevel="1" x14ac:dyDescent="0.25">
      <c r="A17" s="8">
        <f t="shared" si="0"/>
        <v>9</v>
      </c>
      <c r="B17" s="41" t="s">
        <v>323</v>
      </c>
      <c r="C17" s="294" t="s">
        <v>1246</v>
      </c>
      <c r="D17" s="42" t="s">
        <v>1249</v>
      </c>
      <c r="E17" s="43" t="s">
        <v>1252</v>
      </c>
      <c r="F17" s="190">
        <v>0</v>
      </c>
      <c r="G17" s="401"/>
      <c r="H17" s="44"/>
      <c r="I17" s="191" t="s">
        <v>1771</v>
      </c>
      <c r="K17" s="190">
        <f>+[2]IFT!F17</f>
        <v>1</v>
      </c>
      <c r="N17" s="304">
        <v>0.2</v>
      </c>
      <c r="O17" s="61">
        <v>0.15</v>
      </c>
    </row>
    <row r="18" spans="1:15" collapsed="1" x14ac:dyDescent="0.25">
      <c r="C18" s="295"/>
      <c r="N18" s="82"/>
    </row>
    <row r="19" spans="1:15" ht="36.75" customHeight="1" x14ac:dyDescent="0.25">
      <c r="B19" s="283">
        <v>2</v>
      </c>
      <c r="C19" s="289" t="s">
        <v>1259</v>
      </c>
      <c r="D19" s="284"/>
      <c r="E19" s="285"/>
      <c r="F19" s="286">
        <f>SUMPRODUCT(F20:F38,N20:N38,O20:O38)</f>
        <v>0.92500000000000004</v>
      </c>
      <c r="G19" s="287"/>
      <c r="H19" s="287"/>
      <c r="I19" s="288"/>
      <c r="K19" s="286">
        <f>SUMPRODUCT(K20:K38,N20:N38,O20:O38)</f>
        <v>0.98000000000000009</v>
      </c>
      <c r="N19" s="278">
        <f>+[1]MATRIZ!$G$9</f>
        <v>0.4</v>
      </c>
      <c r="O19" s="278">
        <f>+F19*N19</f>
        <v>0.37000000000000005</v>
      </c>
    </row>
    <row r="20" spans="1:15" ht="38.25" hidden="1" customHeight="1" outlineLevel="1" x14ac:dyDescent="0.25">
      <c r="A20" s="8">
        <f>A17+1</f>
        <v>10</v>
      </c>
      <c r="B20" s="41" t="s">
        <v>325</v>
      </c>
      <c r="C20" s="291" t="s">
        <v>1254</v>
      </c>
      <c r="D20" s="42" t="s">
        <v>157</v>
      </c>
      <c r="E20" s="43" t="s">
        <v>1261</v>
      </c>
      <c r="F20" s="190">
        <v>1</v>
      </c>
      <c r="G20" s="399" t="s">
        <v>1260</v>
      </c>
      <c r="H20" s="44"/>
      <c r="I20" s="191"/>
      <c r="K20" s="190">
        <f>+[2]IFT!F20</f>
        <v>1</v>
      </c>
      <c r="N20" s="304">
        <v>0.6</v>
      </c>
      <c r="O20" s="333">
        <v>0.05</v>
      </c>
    </row>
    <row r="21" spans="1:15" ht="38.25" hidden="1" customHeight="1" outlineLevel="1" x14ac:dyDescent="0.25">
      <c r="A21" s="8">
        <f>A20+1</f>
        <v>11</v>
      </c>
      <c r="B21" s="41" t="s">
        <v>325</v>
      </c>
      <c r="C21" s="296" t="s">
        <v>1254</v>
      </c>
      <c r="D21" s="42" t="s">
        <v>104</v>
      </c>
      <c r="E21" s="43" t="s">
        <v>1262</v>
      </c>
      <c r="F21" s="190">
        <v>1</v>
      </c>
      <c r="G21" s="356"/>
      <c r="H21" s="44"/>
      <c r="I21" s="191"/>
      <c r="K21" s="190">
        <f>+[2]IFT!F21</f>
        <v>1</v>
      </c>
      <c r="N21" s="304">
        <v>0.4</v>
      </c>
      <c r="O21" s="61">
        <v>0.05</v>
      </c>
    </row>
    <row r="22" spans="1:15" ht="65.25" hidden="1" customHeight="1" outlineLevel="1" x14ac:dyDescent="0.25">
      <c r="A22" s="8">
        <f>A21+1</f>
        <v>12</v>
      </c>
      <c r="B22" s="41" t="s">
        <v>326</v>
      </c>
      <c r="C22" s="297" t="s">
        <v>1263</v>
      </c>
      <c r="D22" s="42" t="s">
        <v>108</v>
      </c>
      <c r="E22" s="351" t="s">
        <v>1264</v>
      </c>
      <c r="F22" s="190">
        <v>1</v>
      </c>
      <c r="G22" s="279" t="s">
        <v>1265</v>
      </c>
      <c r="H22" s="44" t="s">
        <v>1302</v>
      </c>
      <c r="I22" s="352" t="s">
        <v>1760</v>
      </c>
      <c r="K22" s="190">
        <f>+[2]IFT!F22</f>
        <v>1</v>
      </c>
      <c r="N22" s="304">
        <v>1</v>
      </c>
      <c r="O22" s="333">
        <v>0.5</v>
      </c>
    </row>
    <row r="23" spans="1:15" ht="15.75" hidden="1" customHeight="1" outlineLevel="1" x14ac:dyDescent="0.25">
      <c r="A23" s="8">
        <f t="shared" ref="A23:A30" si="1">A22+1</f>
        <v>13</v>
      </c>
      <c r="B23" s="41" t="s">
        <v>327</v>
      </c>
      <c r="C23" s="292" t="s">
        <v>1266</v>
      </c>
      <c r="D23" s="42" t="s">
        <v>112</v>
      </c>
      <c r="E23" s="43" t="s">
        <v>1267</v>
      </c>
      <c r="F23" s="190">
        <v>1</v>
      </c>
      <c r="G23" s="355" t="s">
        <v>1270</v>
      </c>
      <c r="H23" s="44"/>
      <c r="I23" s="191"/>
      <c r="K23" s="190">
        <f>+[2]IFT!F23</f>
        <v>1</v>
      </c>
      <c r="N23" s="304">
        <v>0.35</v>
      </c>
      <c r="O23" s="333">
        <v>0.1</v>
      </c>
    </row>
    <row r="24" spans="1:15" ht="31.5" hidden="1" outlineLevel="1" x14ac:dyDescent="0.25">
      <c r="A24" s="8">
        <f t="shared" si="1"/>
        <v>14</v>
      </c>
      <c r="B24" s="41" t="s">
        <v>327</v>
      </c>
      <c r="C24" s="291" t="s">
        <v>1266</v>
      </c>
      <c r="D24" s="42" t="s">
        <v>113</v>
      </c>
      <c r="E24" s="43" t="s">
        <v>1268</v>
      </c>
      <c r="F24" s="190">
        <v>1</v>
      </c>
      <c r="G24" s="356"/>
      <c r="H24" s="44"/>
      <c r="I24" s="191"/>
      <c r="K24" s="190">
        <f>+[2]IFT!F24</f>
        <v>1</v>
      </c>
      <c r="N24" s="304">
        <v>0.35</v>
      </c>
      <c r="O24" s="61">
        <v>0.1</v>
      </c>
    </row>
    <row r="25" spans="1:15" hidden="1" outlineLevel="1" x14ac:dyDescent="0.25">
      <c r="A25" s="8">
        <f t="shared" si="1"/>
        <v>15</v>
      </c>
      <c r="B25" s="41" t="s">
        <v>327</v>
      </c>
      <c r="C25" s="292" t="s">
        <v>1266</v>
      </c>
      <c r="D25" s="42" t="s">
        <v>114</v>
      </c>
      <c r="E25" s="43" t="s">
        <v>54</v>
      </c>
      <c r="F25" s="190">
        <v>0</v>
      </c>
      <c r="G25" s="356"/>
      <c r="H25" s="44"/>
      <c r="I25" s="191"/>
      <c r="K25" s="190">
        <f>+[2]IFT!F25</f>
        <v>0</v>
      </c>
      <c r="N25" s="304">
        <v>0.2</v>
      </c>
      <c r="O25" s="61">
        <v>0.1</v>
      </c>
    </row>
    <row r="26" spans="1:15" hidden="1" outlineLevel="1" x14ac:dyDescent="0.25">
      <c r="A26" s="8">
        <f t="shared" si="1"/>
        <v>16</v>
      </c>
      <c r="B26" s="41" t="s">
        <v>327</v>
      </c>
      <c r="C26" s="294" t="s">
        <v>1266</v>
      </c>
      <c r="D26" s="42" t="s">
        <v>115</v>
      </c>
      <c r="E26" s="43" t="s">
        <v>1269</v>
      </c>
      <c r="F26" s="190">
        <v>1</v>
      </c>
      <c r="G26" s="401"/>
      <c r="H26" s="44"/>
      <c r="I26" s="191"/>
      <c r="K26" s="190">
        <f>+[2]IFT!F26</f>
        <v>1</v>
      </c>
      <c r="N26" s="304">
        <v>0.1</v>
      </c>
      <c r="O26" s="61">
        <v>0.1</v>
      </c>
    </row>
    <row r="27" spans="1:15" ht="15.75" hidden="1" customHeight="1" outlineLevel="1" x14ac:dyDescent="0.25">
      <c r="A27" s="8">
        <f t="shared" si="1"/>
        <v>17</v>
      </c>
      <c r="B27" s="41" t="s">
        <v>328</v>
      </c>
      <c r="C27" s="292" t="s">
        <v>1271</v>
      </c>
      <c r="D27" s="42" t="s">
        <v>805</v>
      </c>
      <c r="E27" s="43" t="s">
        <v>1272</v>
      </c>
      <c r="F27" s="190">
        <v>1</v>
      </c>
      <c r="G27" s="355" t="s">
        <v>1274</v>
      </c>
      <c r="H27" s="44"/>
      <c r="I27" s="191"/>
      <c r="K27" s="190">
        <f>+[2]IFT!F27</f>
        <v>1</v>
      </c>
      <c r="N27" s="304">
        <v>0.15</v>
      </c>
      <c r="O27" s="333">
        <v>0.22500000000000001</v>
      </c>
    </row>
    <row r="28" spans="1:15" ht="31.5" hidden="1" outlineLevel="1" x14ac:dyDescent="0.25">
      <c r="A28" s="8">
        <f t="shared" si="1"/>
        <v>18</v>
      </c>
      <c r="B28" s="41" t="s">
        <v>328</v>
      </c>
      <c r="C28" s="291" t="s">
        <v>1271</v>
      </c>
      <c r="D28" s="42" t="s">
        <v>806</v>
      </c>
      <c r="E28" s="43" t="s">
        <v>1273</v>
      </c>
      <c r="F28" s="190">
        <v>0</v>
      </c>
      <c r="G28" s="356"/>
      <c r="H28" s="44"/>
      <c r="I28" s="191" t="s">
        <v>1769</v>
      </c>
      <c r="K28" s="190">
        <f>+[2]IFT!F28</f>
        <v>1</v>
      </c>
      <c r="N28" s="304">
        <v>0.2</v>
      </c>
      <c r="O28" s="61">
        <v>0.22500000000000001</v>
      </c>
    </row>
    <row r="29" spans="1:15" hidden="1" outlineLevel="1" x14ac:dyDescent="0.25">
      <c r="A29" s="8">
        <f t="shared" si="1"/>
        <v>19</v>
      </c>
      <c r="B29" s="41" t="s">
        <v>328</v>
      </c>
      <c r="C29" s="292" t="s">
        <v>1271</v>
      </c>
      <c r="D29" s="42" t="s">
        <v>807</v>
      </c>
      <c r="E29" s="43" t="s">
        <v>55</v>
      </c>
      <c r="F29" s="190">
        <v>1</v>
      </c>
      <c r="G29" s="356"/>
      <c r="H29" s="44"/>
      <c r="I29" s="191"/>
      <c r="K29" s="190">
        <f>+[2]IFT!F29</f>
        <v>1</v>
      </c>
      <c r="N29" s="304">
        <v>0.3</v>
      </c>
      <c r="O29" s="61">
        <v>0.22500000000000001</v>
      </c>
    </row>
    <row r="30" spans="1:15" hidden="1" outlineLevel="1" x14ac:dyDescent="0.25">
      <c r="A30" s="8">
        <f t="shared" si="1"/>
        <v>20</v>
      </c>
      <c r="B30" s="41" t="s">
        <v>328</v>
      </c>
      <c r="C30" s="294" t="s">
        <v>1271</v>
      </c>
      <c r="D30" s="42" t="s">
        <v>808</v>
      </c>
      <c r="E30" s="43" t="s">
        <v>56</v>
      </c>
      <c r="F30" s="190">
        <v>1</v>
      </c>
      <c r="G30" s="401"/>
      <c r="H30" s="44"/>
      <c r="I30" s="191"/>
      <c r="K30" s="190">
        <f>+[2]IFT!F30</f>
        <v>1</v>
      </c>
      <c r="N30" s="304">
        <v>0.35</v>
      </c>
      <c r="O30" s="61">
        <v>0.22500000000000001</v>
      </c>
    </row>
    <row r="31" spans="1:15" ht="38.25" hidden="1" customHeight="1" outlineLevel="1" x14ac:dyDescent="0.25">
      <c r="A31" s="8">
        <f>A30+1</f>
        <v>21</v>
      </c>
      <c r="B31" s="41" t="s">
        <v>916</v>
      </c>
      <c r="C31" s="291" t="s">
        <v>1275</v>
      </c>
      <c r="D31" s="42" t="s">
        <v>918</v>
      </c>
      <c r="E31" s="43" t="s">
        <v>57</v>
      </c>
      <c r="F31" s="190">
        <v>1</v>
      </c>
      <c r="G31" s="399" t="s">
        <v>1276</v>
      </c>
      <c r="H31" s="44"/>
      <c r="I31" s="191"/>
      <c r="K31" s="190">
        <f>+[2]IFT!F31</f>
        <v>1</v>
      </c>
      <c r="N31" s="304">
        <v>0.6</v>
      </c>
      <c r="O31" s="333">
        <v>0.05</v>
      </c>
    </row>
    <row r="32" spans="1:15" ht="38.25" hidden="1" customHeight="1" outlineLevel="1" x14ac:dyDescent="0.25">
      <c r="A32" s="8">
        <f>A31+1</f>
        <v>22</v>
      </c>
      <c r="B32" s="41" t="s">
        <v>916</v>
      </c>
      <c r="C32" s="296" t="str">
        <f>+C31</f>
        <v>ABERTURAS</v>
      </c>
      <c r="D32" s="42" t="s">
        <v>919</v>
      </c>
      <c r="E32" s="43" t="s">
        <v>58</v>
      </c>
      <c r="F32" s="190">
        <v>1</v>
      </c>
      <c r="G32" s="400"/>
      <c r="H32" s="44"/>
      <c r="I32" s="191"/>
      <c r="K32" s="190">
        <f>+[2]IFT!F32</f>
        <v>1</v>
      </c>
      <c r="N32" s="304">
        <v>0.4</v>
      </c>
      <c r="O32" s="61">
        <v>0.05</v>
      </c>
    </row>
    <row r="33" spans="1:15" ht="15.75" hidden="1" customHeight="1" outlineLevel="1" x14ac:dyDescent="0.25">
      <c r="A33" s="8">
        <f t="shared" ref="A33:A36" si="2">A32+1</f>
        <v>23</v>
      </c>
      <c r="B33" s="41" t="s">
        <v>1277</v>
      </c>
      <c r="C33" s="292" t="s">
        <v>1278</v>
      </c>
      <c r="D33" s="42" t="s">
        <v>1279</v>
      </c>
      <c r="E33" s="43" t="s">
        <v>1283</v>
      </c>
      <c r="F33" s="190">
        <v>1</v>
      </c>
      <c r="G33" s="355" t="s">
        <v>1284</v>
      </c>
      <c r="H33" s="44"/>
      <c r="I33" s="191"/>
      <c r="K33" s="190">
        <f>+[2]IFT!F33</f>
        <v>1</v>
      </c>
      <c r="N33" s="304">
        <v>0.4</v>
      </c>
      <c r="O33" s="61">
        <v>0.05</v>
      </c>
    </row>
    <row r="34" spans="1:15" hidden="1" outlineLevel="1" x14ac:dyDescent="0.25">
      <c r="A34" s="8">
        <f t="shared" si="2"/>
        <v>24</v>
      </c>
      <c r="B34" s="41" t="s">
        <v>1277</v>
      </c>
      <c r="C34" s="291" t="s">
        <v>1278</v>
      </c>
      <c r="D34" s="42" t="s">
        <v>1280</v>
      </c>
      <c r="E34" s="43" t="s">
        <v>59</v>
      </c>
      <c r="F34" s="190">
        <v>1</v>
      </c>
      <c r="G34" s="356"/>
      <c r="H34" s="44"/>
      <c r="I34" s="191"/>
      <c r="K34" s="190">
        <f>+[2]IFT!F34</f>
        <v>1</v>
      </c>
      <c r="N34" s="304">
        <v>0.3</v>
      </c>
      <c r="O34" s="333">
        <v>0.05</v>
      </c>
    </row>
    <row r="35" spans="1:15" hidden="1" outlineLevel="1" x14ac:dyDescent="0.25">
      <c r="A35" s="8">
        <f t="shared" si="2"/>
        <v>25</v>
      </c>
      <c r="B35" s="41" t="s">
        <v>1277</v>
      </c>
      <c r="C35" s="292" t="s">
        <v>1278</v>
      </c>
      <c r="D35" s="42" t="s">
        <v>1281</v>
      </c>
      <c r="E35" s="43" t="s">
        <v>60</v>
      </c>
      <c r="F35" s="190">
        <v>1</v>
      </c>
      <c r="G35" s="356"/>
      <c r="H35" s="44"/>
      <c r="I35" s="191"/>
      <c r="K35" s="190">
        <f>+[2]IFT!F35</f>
        <v>1</v>
      </c>
      <c r="N35" s="304">
        <v>0.1</v>
      </c>
      <c r="O35" s="61">
        <v>0.05</v>
      </c>
    </row>
    <row r="36" spans="1:15" ht="47.25" hidden="1" outlineLevel="1" x14ac:dyDescent="0.25">
      <c r="A36" s="8">
        <f t="shared" si="2"/>
        <v>26</v>
      </c>
      <c r="B36" s="41" t="s">
        <v>1277</v>
      </c>
      <c r="C36" s="294" t="s">
        <v>1278</v>
      </c>
      <c r="D36" s="42" t="s">
        <v>1282</v>
      </c>
      <c r="E36" s="43" t="s">
        <v>61</v>
      </c>
      <c r="F36" s="190">
        <v>0</v>
      </c>
      <c r="G36" s="401"/>
      <c r="H36" s="44"/>
      <c r="I36" s="191" t="s">
        <v>1772</v>
      </c>
      <c r="K36" s="190">
        <f>+[2]IFT!F36</f>
        <v>1</v>
      </c>
      <c r="N36" s="304">
        <v>0.2</v>
      </c>
      <c r="O36" s="61">
        <v>0.05</v>
      </c>
    </row>
    <row r="37" spans="1:15" ht="38.25" hidden="1" customHeight="1" outlineLevel="1" x14ac:dyDescent="0.25">
      <c r="A37" s="8">
        <f>A36+1</f>
        <v>27</v>
      </c>
      <c r="B37" s="41" t="s">
        <v>1285</v>
      </c>
      <c r="C37" s="291" t="s">
        <v>1288</v>
      </c>
      <c r="D37" s="42" t="s">
        <v>1286</v>
      </c>
      <c r="E37" s="43" t="s">
        <v>62</v>
      </c>
      <c r="F37" s="190">
        <v>1</v>
      </c>
      <c r="G37" s="399" t="s">
        <v>1290</v>
      </c>
      <c r="H37" s="44"/>
      <c r="I37" s="191"/>
      <c r="K37" s="190">
        <f>+[2]IFT!F37</f>
        <v>1</v>
      </c>
      <c r="N37" s="304">
        <v>0.5</v>
      </c>
      <c r="O37" s="333">
        <v>2.5000000000000001E-2</v>
      </c>
    </row>
    <row r="38" spans="1:15" ht="38.25" hidden="1" customHeight="1" outlineLevel="1" x14ac:dyDescent="0.25">
      <c r="A38" s="8">
        <f>A37+1</f>
        <v>28</v>
      </c>
      <c r="B38" s="41" t="s">
        <v>1285</v>
      </c>
      <c r="C38" s="296" t="s">
        <v>1288</v>
      </c>
      <c r="D38" s="42" t="s">
        <v>1287</v>
      </c>
      <c r="E38" s="43" t="s">
        <v>1289</v>
      </c>
      <c r="F38" s="190">
        <v>1</v>
      </c>
      <c r="G38" s="400"/>
      <c r="H38" s="44"/>
      <c r="I38" s="191"/>
      <c r="K38" s="190">
        <f>+[2]IFT!F38</f>
        <v>1</v>
      </c>
      <c r="N38" s="304">
        <v>0.5</v>
      </c>
      <c r="O38" s="61">
        <v>2.5000000000000001E-2</v>
      </c>
    </row>
    <row r="39" spans="1:15" collapsed="1" x14ac:dyDescent="0.25">
      <c r="C39" s="295"/>
      <c r="N39" s="82"/>
    </row>
    <row r="40" spans="1:15" ht="36.75" customHeight="1" x14ac:dyDescent="0.25">
      <c r="B40" s="283">
        <v>3</v>
      </c>
      <c r="C40" s="289" t="s">
        <v>1291</v>
      </c>
      <c r="D40" s="284"/>
      <c r="E40" s="285"/>
      <c r="F40" s="286">
        <f>SUMPRODUCT(F41:F56,N41:N56,O41:O56)</f>
        <v>0.91000000000000014</v>
      </c>
      <c r="G40" s="287"/>
      <c r="H40" s="287"/>
      <c r="I40" s="288"/>
      <c r="K40" s="286">
        <f>SUMPRODUCT(K41:K56,N41:N56,O41:O56)</f>
        <v>1</v>
      </c>
      <c r="N40" s="278">
        <f>+[1]MATRIZ!$G$10</f>
        <v>0.27500000000000002</v>
      </c>
      <c r="O40" s="278">
        <f>+F40*N40</f>
        <v>0.25025000000000008</v>
      </c>
    </row>
    <row r="41" spans="1:15" ht="38.25" hidden="1" customHeight="1" outlineLevel="1" x14ac:dyDescent="0.25">
      <c r="A41" s="8">
        <f>A38+1</f>
        <v>29</v>
      </c>
      <c r="B41" s="41" t="s">
        <v>334</v>
      </c>
      <c r="C41" s="291" t="s">
        <v>1643</v>
      </c>
      <c r="D41" s="42" t="s">
        <v>193</v>
      </c>
      <c r="E41" s="43" t="s">
        <v>1295</v>
      </c>
      <c r="F41" s="190">
        <v>1</v>
      </c>
      <c r="G41" s="399" t="s">
        <v>1294</v>
      </c>
      <c r="H41" s="44" t="s">
        <v>1303</v>
      </c>
      <c r="I41" s="191"/>
      <c r="K41" s="190">
        <f>+[2]IFT!F41</f>
        <v>1</v>
      </c>
      <c r="N41" s="304">
        <v>0.4</v>
      </c>
      <c r="O41" s="61">
        <v>0.5</v>
      </c>
    </row>
    <row r="42" spans="1:15" ht="38.25" hidden="1" customHeight="1" outlineLevel="1" x14ac:dyDescent="0.25">
      <c r="A42" s="8">
        <f>A41+1</f>
        <v>30</v>
      </c>
      <c r="B42" s="41" t="s">
        <v>334</v>
      </c>
      <c r="C42" s="296" t="s">
        <v>1292</v>
      </c>
      <c r="D42" s="42" t="s">
        <v>1293</v>
      </c>
      <c r="E42" s="43" t="s">
        <v>1296</v>
      </c>
      <c r="F42" s="190">
        <v>1</v>
      </c>
      <c r="G42" s="400"/>
      <c r="H42" s="44" t="str">
        <f>+H41</f>
        <v>CRITICO 3</v>
      </c>
      <c r="I42" s="191"/>
      <c r="K42" s="190">
        <f>+[2]IFT!F42</f>
        <v>1</v>
      </c>
      <c r="N42" s="304">
        <v>0.6</v>
      </c>
      <c r="O42" s="61">
        <v>0.5</v>
      </c>
    </row>
    <row r="43" spans="1:15" ht="15.75" hidden="1" customHeight="1" outlineLevel="1" x14ac:dyDescent="0.25">
      <c r="A43" s="8">
        <f t="shared" ref="A43:A56" si="3">A42+1</f>
        <v>31</v>
      </c>
      <c r="B43" s="41" t="s">
        <v>335</v>
      </c>
      <c r="C43" s="292" t="s">
        <v>1297</v>
      </c>
      <c r="D43" s="42" t="s">
        <v>194</v>
      </c>
      <c r="E43" s="282" t="s">
        <v>1298</v>
      </c>
      <c r="F43" s="190" t="s">
        <v>142</v>
      </c>
      <c r="G43" s="355" t="s">
        <v>1300</v>
      </c>
      <c r="H43" s="44"/>
      <c r="I43" s="191"/>
      <c r="K43" s="190">
        <f>+[2]IFT!F43</f>
        <v>1</v>
      </c>
      <c r="N43" s="304">
        <v>0</v>
      </c>
      <c r="O43" s="61">
        <v>0.3</v>
      </c>
    </row>
    <row r="44" spans="1:15" hidden="1" outlineLevel="1" x14ac:dyDescent="0.25">
      <c r="A44" s="8">
        <f t="shared" si="3"/>
        <v>32</v>
      </c>
      <c r="B44" s="41" t="s">
        <v>335</v>
      </c>
      <c r="C44" s="291" t="s">
        <v>1297</v>
      </c>
      <c r="D44" s="42" t="s">
        <v>195</v>
      </c>
      <c r="E44" s="43" t="s">
        <v>1299</v>
      </c>
      <c r="F44" s="190">
        <v>1</v>
      </c>
      <c r="G44" s="356"/>
      <c r="H44" s="44"/>
      <c r="I44" s="191"/>
      <c r="K44" s="190">
        <f>+[2]IFT!F44</f>
        <v>1</v>
      </c>
      <c r="N44" s="304">
        <v>0.4</v>
      </c>
      <c r="O44" s="61">
        <v>0.3</v>
      </c>
    </row>
    <row r="45" spans="1:15" ht="31.5" hidden="1" outlineLevel="1" x14ac:dyDescent="0.25">
      <c r="A45" s="8">
        <f t="shared" si="3"/>
        <v>33</v>
      </c>
      <c r="B45" s="41" t="s">
        <v>335</v>
      </c>
      <c r="C45" s="292" t="s">
        <v>1297</v>
      </c>
      <c r="D45" s="42" t="s">
        <v>196</v>
      </c>
      <c r="E45" s="43" t="s">
        <v>123</v>
      </c>
      <c r="F45" s="190">
        <v>0</v>
      </c>
      <c r="G45" s="356"/>
      <c r="H45" s="44"/>
      <c r="I45" s="191" t="s">
        <v>1776</v>
      </c>
      <c r="K45" s="190">
        <f>+[2]IFT!F45</f>
        <v>1</v>
      </c>
      <c r="N45" s="304">
        <v>0.3</v>
      </c>
      <c r="O45" s="61">
        <v>0.3</v>
      </c>
    </row>
    <row r="46" spans="1:15" hidden="1" outlineLevel="1" x14ac:dyDescent="0.25">
      <c r="A46" s="8">
        <f t="shared" si="3"/>
        <v>34</v>
      </c>
      <c r="B46" s="41" t="s">
        <v>335</v>
      </c>
      <c r="C46" s="294" t="s">
        <v>1297</v>
      </c>
      <c r="D46" s="42" t="s">
        <v>197</v>
      </c>
      <c r="E46" s="43" t="s">
        <v>124</v>
      </c>
      <c r="F46" s="190">
        <v>1</v>
      </c>
      <c r="G46" s="401"/>
      <c r="H46" s="44"/>
      <c r="I46" s="191"/>
      <c r="K46" s="190">
        <f>+[2]IFT!F46</f>
        <v>1</v>
      </c>
      <c r="N46" s="304">
        <v>0.3</v>
      </c>
      <c r="O46" s="61">
        <v>0.3</v>
      </c>
    </row>
    <row r="47" spans="1:15" ht="15.75" hidden="1" customHeight="1" outlineLevel="1" x14ac:dyDescent="0.25">
      <c r="A47" s="8">
        <f t="shared" si="3"/>
        <v>35</v>
      </c>
      <c r="B47" s="41" t="s">
        <v>336</v>
      </c>
      <c r="C47" s="292" t="s">
        <v>120</v>
      </c>
      <c r="D47" s="42" t="s">
        <v>198</v>
      </c>
      <c r="E47" s="282" t="s">
        <v>1304</v>
      </c>
      <c r="F47" s="190" t="s">
        <v>142</v>
      </c>
      <c r="G47" s="355" t="s">
        <v>1306</v>
      </c>
      <c r="H47" s="44"/>
      <c r="I47" s="191"/>
      <c r="K47" s="190" t="str">
        <f>+[2]IFT!F47</f>
        <v>N/A</v>
      </c>
      <c r="N47" s="304">
        <v>0.3</v>
      </c>
      <c r="O47" s="61">
        <v>0</v>
      </c>
    </row>
    <row r="48" spans="1:15" ht="31.5" hidden="1" outlineLevel="1" x14ac:dyDescent="0.25">
      <c r="A48" s="8">
        <f t="shared" si="3"/>
        <v>36</v>
      </c>
      <c r="B48" s="41" t="s">
        <v>336</v>
      </c>
      <c r="C48" s="291" t="s">
        <v>120</v>
      </c>
      <c r="D48" s="42" t="s">
        <v>199</v>
      </c>
      <c r="E48" s="282" t="s">
        <v>63</v>
      </c>
      <c r="F48" s="190" t="s">
        <v>142</v>
      </c>
      <c r="G48" s="356"/>
      <c r="H48" s="44"/>
      <c r="I48" s="191"/>
      <c r="K48" s="190" t="str">
        <f>+[2]IFT!F48</f>
        <v>N/A</v>
      </c>
      <c r="N48" s="304">
        <v>0.3</v>
      </c>
      <c r="O48" s="61">
        <v>0</v>
      </c>
    </row>
    <row r="49" spans="1:15" hidden="1" outlineLevel="1" x14ac:dyDescent="0.25">
      <c r="A49" s="8">
        <f t="shared" si="3"/>
        <v>37</v>
      </c>
      <c r="B49" s="41" t="s">
        <v>336</v>
      </c>
      <c r="C49" s="296" t="s">
        <v>120</v>
      </c>
      <c r="D49" s="42" t="s">
        <v>200</v>
      </c>
      <c r="E49" s="282" t="s">
        <v>1305</v>
      </c>
      <c r="F49" s="190" t="s">
        <v>142</v>
      </c>
      <c r="G49" s="356"/>
      <c r="H49" s="44"/>
      <c r="I49" s="191"/>
      <c r="K49" s="190" t="str">
        <f>+[2]IFT!F49</f>
        <v>N/A</v>
      </c>
      <c r="N49" s="304">
        <v>0.4</v>
      </c>
      <c r="O49" s="61">
        <v>0</v>
      </c>
    </row>
    <row r="50" spans="1:15" ht="15.75" hidden="1" customHeight="1" outlineLevel="1" x14ac:dyDescent="0.25">
      <c r="A50" s="8">
        <f t="shared" si="3"/>
        <v>38</v>
      </c>
      <c r="B50" s="41" t="s">
        <v>337</v>
      </c>
      <c r="C50" s="292" t="s">
        <v>121</v>
      </c>
      <c r="D50" s="42" t="s">
        <v>202</v>
      </c>
      <c r="E50" s="282" t="s">
        <v>1307</v>
      </c>
      <c r="F50" s="190" t="s">
        <v>142</v>
      </c>
      <c r="G50" s="355" t="s">
        <v>1308</v>
      </c>
      <c r="H50" s="44"/>
      <c r="I50" s="191"/>
      <c r="K50" s="190" t="str">
        <f>+[2]IFT!F50</f>
        <v>N/A</v>
      </c>
      <c r="N50" s="304">
        <v>0.1</v>
      </c>
      <c r="O50" s="61">
        <v>0</v>
      </c>
    </row>
    <row r="51" spans="1:15" hidden="1" outlineLevel="1" x14ac:dyDescent="0.25">
      <c r="A51" s="8">
        <f t="shared" si="3"/>
        <v>39</v>
      </c>
      <c r="B51" s="41" t="s">
        <v>337</v>
      </c>
      <c r="C51" s="291" t="s">
        <v>121</v>
      </c>
      <c r="D51" s="42" t="s">
        <v>203</v>
      </c>
      <c r="E51" s="282" t="s">
        <v>64</v>
      </c>
      <c r="F51" s="190" t="s">
        <v>142</v>
      </c>
      <c r="G51" s="356"/>
      <c r="H51" s="44"/>
      <c r="I51" s="191"/>
      <c r="K51" s="190" t="str">
        <f>+[2]IFT!F51</f>
        <v>N/A</v>
      </c>
      <c r="N51" s="304">
        <v>0.5</v>
      </c>
      <c r="O51" s="61">
        <v>0</v>
      </c>
    </row>
    <row r="52" spans="1:15" hidden="1" outlineLevel="1" x14ac:dyDescent="0.25">
      <c r="A52" s="8">
        <f t="shared" si="3"/>
        <v>40</v>
      </c>
      <c r="B52" s="41" t="s">
        <v>337</v>
      </c>
      <c r="C52" s="292" t="s">
        <v>121</v>
      </c>
      <c r="D52" s="42" t="s">
        <v>1309</v>
      </c>
      <c r="E52" s="282" t="s">
        <v>65</v>
      </c>
      <c r="F52" s="190" t="s">
        <v>142</v>
      </c>
      <c r="G52" s="356"/>
      <c r="H52" s="44"/>
      <c r="I52" s="191"/>
      <c r="K52" s="190" t="str">
        <f>+[2]IFT!F52</f>
        <v>N/A</v>
      </c>
      <c r="N52" s="304">
        <v>0.1</v>
      </c>
      <c r="O52" s="61">
        <v>0</v>
      </c>
    </row>
    <row r="53" spans="1:15" ht="15.75" hidden="1" customHeight="1" outlineLevel="1" x14ac:dyDescent="0.25">
      <c r="A53" s="8">
        <f t="shared" si="3"/>
        <v>41</v>
      </c>
      <c r="B53" s="41" t="s">
        <v>338</v>
      </c>
      <c r="C53" s="303" t="s">
        <v>122</v>
      </c>
      <c r="D53" s="42" t="s">
        <v>204</v>
      </c>
      <c r="E53" s="43" t="s">
        <v>66</v>
      </c>
      <c r="F53" s="190">
        <v>1</v>
      </c>
      <c r="G53" s="355" t="s">
        <v>1300</v>
      </c>
      <c r="H53" s="44" t="s">
        <v>1314</v>
      </c>
      <c r="I53" s="191"/>
      <c r="K53" s="190">
        <f>+[2]IFT!F53</f>
        <v>1</v>
      </c>
      <c r="N53" s="304">
        <v>0.3</v>
      </c>
      <c r="O53" s="61">
        <v>0.2</v>
      </c>
    </row>
    <row r="54" spans="1:15" hidden="1" outlineLevel="1" x14ac:dyDescent="0.25">
      <c r="A54" s="8">
        <f t="shared" si="3"/>
        <v>42</v>
      </c>
      <c r="B54" s="41" t="s">
        <v>338</v>
      </c>
      <c r="C54" s="291" t="s">
        <v>122</v>
      </c>
      <c r="D54" s="42" t="s">
        <v>205</v>
      </c>
      <c r="E54" s="43" t="s">
        <v>1311</v>
      </c>
      <c r="F54" s="190">
        <v>1</v>
      </c>
      <c r="G54" s="356"/>
      <c r="H54" s="44" t="str">
        <f>+H53</f>
        <v>CRITICO 4</v>
      </c>
      <c r="I54" s="191"/>
      <c r="K54" s="190">
        <f>+[2]IFT!F54</f>
        <v>1</v>
      </c>
      <c r="N54" s="304">
        <v>0.3</v>
      </c>
      <c r="O54" s="61">
        <v>0.2</v>
      </c>
    </row>
    <row r="55" spans="1:15" hidden="1" outlineLevel="1" x14ac:dyDescent="0.25">
      <c r="A55" s="8">
        <f t="shared" si="3"/>
        <v>43</v>
      </c>
      <c r="B55" s="41" t="s">
        <v>338</v>
      </c>
      <c r="C55" s="292" t="s">
        <v>122</v>
      </c>
      <c r="D55" s="42" t="s">
        <v>206</v>
      </c>
      <c r="E55" s="43" t="s">
        <v>1312</v>
      </c>
      <c r="F55" s="190">
        <v>1</v>
      </c>
      <c r="G55" s="356"/>
      <c r="H55" s="44"/>
      <c r="I55" s="191"/>
      <c r="K55" s="190">
        <f>+[2]IFT!F55</f>
        <v>1</v>
      </c>
      <c r="N55" s="304">
        <v>0.1</v>
      </c>
      <c r="O55" s="61">
        <v>0.2</v>
      </c>
    </row>
    <row r="56" spans="1:15" hidden="1" outlineLevel="1" x14ac:dyDescent="0.25">
      <c r="A56" s="8">
        <f t="shared" si="3"/>
        <v>44</v>
      </c>
      <c r="B56" s="41" t="s">
        <v>338</v>
      </c>
      <c r="C56" s="294" t="s">
        <v>122</v>
      </c>
      <c r="D56" s="42" t="s">
        <v>207</v>
      </c>
      <c r="E56" s="43" t="s">
        <v>1313</v>
      </c>
      <c r="F56" s="190">
        <v>1</v>
      </c>
      <c r="G56" s="401"/>
      <c r="H56" s="44" t="str">
        <f>+H54</f>
        <v>CRITICO 4</v>
      </c>
      <c r="I56" s="191" t="s">
        <v>1763</v>
      </c>
      <c r="K56" s="190">
        <f>+[2]IFT!F56</f>
        <v>1</v>
      </c>
      <c r="N56" s="304">
        <v>0.3</v>
      </c>
      <c r="O56" s="61">
        <v>0.2</v>
      </c>
    </row>
    <row r="57" spans="1:15" collapsed="1" x14ac:dyDescent="0.25">
      <c r="C57" s="295"/>
      <c r="N57" s="82"/>
    </row>
    <row r="58" spans="1:15" ht="36.75" customHeight="1" x14ac:dyDescent="0.25">
      <c r="B58" s="283">
        <v>4</v>
      </c>
      <c r="C58" s="289" t="s">
        <v>1315</v>
      </c>
      <c r="D58" s="284"/>
      <c r="E58" s="285"/>
      <c r="F58" s="286">
        <f>SUMPRODUCT(F59:F60,N59:N60,O59:O60)</f>
        <v>1</v>
      </c>
      <c r="G58" s="287"/>
      <c r="H58" s="287"/>
      <c r="I58" s="288"/>
      <c r="K58" s="286">
        <f>+K59*N59*O59</f>
        <v>1</v>
      </c>
      <c r="N58" s="278">
        <f>+[1]MATRIZ!$G$11</f>
        <v>2.5000000000000001E-2</v>
      </c>
      <c r="O58" s="278">
        <f>+F58*N58</f>
        <v>2.5000000000000001E-2</v>
      </c>
    </row>
    <row r="59" spans="1:15" ht="63" hidden="1" outlineLevel="1" x14ac:dyDescent="0.25">
      <c r="A59" s="8">
        <f>A56+1</f>
        <v>45</v>
      </c>
      <c r="B59" s="41" t="s">
        <v>354</v>
      </c>
      <c r="C59" s="293" t="s">
        <v>1316</v>
      </c>
      <c r="D59" s="42" t="s">
        <v>245</v>
      </c>
      <c r="E59" s="43" t="s">
        <v>1317</v>
      </c>
      <c r="F59" s="190">
        <v>1</v>
      </c>
      <c r="G59" s="42" t="s">
        <v>1318</v>
      </c>
      <c r="H59" s="44"/>
      <c r="I59" s="191"/>
      <c r="K59" s="190">
        <f>+[2]IFT!F59</f>
        <v>1</v>
      </c>
      <c r="N59" s="304">
        <v>1</v>
      </c>
      <c r="O59" s="61">
        <v>1</v>
      </c>
    </row>
    <row r="60" spans="1:15" collapsed="1" x14ac:dyDescent="0.25">
      <c r="C60" s="295"/>
      <c r="N60" s="82"/>
    </row>
    <row r="61" spans="1:15" ht="36.75" customHeight="1" x14ac:dyDescent="0.25">
      <c r="B61" s="283">
        <v>5</v>
      </c>
      <c r="C61" s="289" t="s">
        <v>1319</v>
      </c>
      <c r="D61" s="284"/>
      <c r="E61" s="285"/>
      <c r="F61" s="286">
        <f>SUMPRODUCT(F62:F66,N62:N66,O62:O66)</f>
        <v>1</v>
      </c>
      <c r="G61" s="287"/>
      <c r="H61" s="287"/>
      <c r="I61" s="288"/>
      <c r="K61" s="286">
        <f>SUMPRODUCT(K62:K66,N62:N66,O62:O66)</f>
        <v>1</v>
      </c>
      <c r="N61" s="278">
        <f>+[1]MATRIZ!$G$12</f>
        <v>7.4999999999999997E-2</v>
      </c>
      <c r="O61" s="278">
        <f>+F61*N61</f>
        <v>7.4999999999999997E-2</v>
      </c>
    </row>
    <row r="62" spans="1:15" ht="15.75" hidden="1" customHeight="1" outlineLevel="1" x14ac:dyDescent="0.25">
      <c r="A62" s="8">
        <f>A59+1</f>
        <v>46</v>
      </c>
      <c r="B62" s="41" t="s">
        <v>361</v>
      </c>
      <c r="C62" s="159" t="s">
        <v>1320</v>
      </c>
      <c r="D62" s="42" t="s">
        <v>268</v>
      </c>
      <c r="E62" s="43" t="s">
        <v>67</v>
      </c>
      <c r="F62" s="190">
        <v>1</v>
      </c>
      <c r="G62" s="355" t="s">
        <v>1321</v>
      </c>
      <c r="H62" s="44"/>
      <c r="I62" s="191"/>
      <c r="K62" s="190">
        <f>+[2]IFT!F62</f>
        <v>1</v>
      </c>
      <c r="N62" s="61">
        <v>0.3</v>
      </c>
      <c r="O62" s="61">
        <v>0.5</v>
      </c>
    </row>
    <row r="63" spans="1:15" hidden="1" outlineLevel="1" x14ac:dyDescent="0.25">
      <c r="A63" s="8">
        <f t="shared" ref="A63:A64" si="4">A62+1</f>
        <v>47</v>
      </c>
      <c r="B63" s="41" t="s">
        <v>361</v>
      </c>
      <c r="C63" s="160" t="s">
        <v>1320</v>
      </c>
      <c r="D63" s="42" t="s">
        <v>269</v>
      </c>
      <c r="E63" s="43" t="s">
        <v>68</v>
      </c>
      <c r="F63" s="190">
        <v>1</v>
      </c>
      <c r="G63" s="356"/>
      <c r="H63" s="44"/>
      <c r="I63" s="191"/>
      <c r="K63" s="190">
        <f>+[2]IFT!F63</f>
        <v>1</v>
      </c>
      <c r="N63" s="61">
        <v>0.4</v>
      </c>
      <c r="O63" s="61">
        <v>0.5</v>
      </c>
    </row>
    <row r="64" spans="1:15" hidden="1" outlineLevel="1" x14ac:dyDescent="0.25">
      <c r="A64" s="8">
        <f t="shared" si="4"/>
        <v>48</v>
      </c>
      <c r="B64" s="41" t="s">
        <v>361</v>
      </c>
      <c r="C64" s="281" t="s">
        <v>1320</v>
      </c>
      <c r="D64" s="42" t="s">
        <v>270</v>
      </c>
      <c r="E64" s="43" t="s">
        <v>69</v>
      </c>
      <c r="F64" s="190">
        <v>1</v>
      </c>
      <c r="G64" s="357"/>
      <c r="H64" s="44"/>
      <c r="I64" s="191"/>
      <c r="K64" s="190">
        <f>+[2]IFT!F64</f>
        <v>1</v>
      </c>
      <c r="N64" s="61">
        <v>0.3</v>
      </c>
      <c r="O64" s="61">
        <v>0.5</v>
      </c>
    </row>
    <row r="65" spans="1:15" ht="126" hidden="1" outlineLevel="1" x14ac:dyDescent="0.25">
      <c r="A65" s="8">
        <f>A64+1</f>
        <v>49</v>
      </c>
      <c r="B65" s="41" t="s">
        <v>1322</v>
      </c>
      <c r="C65" s="279" t="s">
        <v>1323</v>
      </c>
      <c r="D65" s="42" t="s">
        <v>1324</v>
      </c>
      <c r="E65" s="43" t="s">
        <v>1325</v>
      </c>
      <c r="F65" s="190">
        <v>1</v>
      </c>
      <c r="G65" s="42" t="s">
        <v>1326</v>
      </c>
      <c r="H65" s="44"/>
      <c r="I65" s="191"/>
      <c r="K65" s="190">
        <f>+[2]IFT!F65</f>
        <v>1</v>
      </c>
      <c r="N65" s="61">
        <v>1</v>
      </c>
      <c r="O65" s="61">
        <v>0.35</v>
      </c>
    </row>
    <row r="66" spans="1:15" ht="110.25" hidden="1" outlineLevel="1" x14ac:dyDescent="0.25">
      <c r="A66" s="8">
        <f>A65+1</f>
        <v>50</v>
      </c>
      <c r="B66" s="41" t="s">
        <v>1327</v>
      </c>
      <c r="C66" s="279" t="s">
        <v>1328</v>
      </c>
      <c r="D66" s="42" t="s">
        <v>1329</v>
      </c>
      <c r="E66" s="43" t="s">
        <v>1330</v>
      </c>
      <c r="F66" s="190">
        <v>1</v>
      </c>
      <c r="G66" s="42" t="s">
        <v>1331</v>
      </c>
      <c r="H66" s="44"/>
      <c r="I66" s="191"/>
      <c r="K66" s="190">
        <f>+[2]IFT!F66</f>
        <v>1</v>
      </c>
      <c r="N66" s="61">
        <v>1</v>
      </c>
      <c r="O66" s="61">
        <v>0.15</v>
      </c>
    </row>
    <row r="67" spans="1:15" collapsed="1" x14ac:dyDescent="0.25"/>
  </sheetData>
  <sheetProtection autoFilter="0"/>
  <protectedRanges>
    <protectedRange sqref="F20:F38 F59 F62:F66 F9:F17 F41:F56 K9:K17 K20:K38 K41:K56 K59 K62:K66" name="Rango1"/>
  </protectedRanges>
  <autoFilter ref="A7:I17" xr:uid="{00000000-0009-0000-0000-000004000000}"/>
  <mergeCells count="15">
    <mergeCell ref="G23:G26"/>
    <mergeCell ref="G27:G30"/>
    <mergeCell ref="G31:G32"/>
    <mergeCell ref="G33:G36"/>
    <mergeCell ref="N5:O5"/>
    <mergeCell ref="G9:G12"/>
    <mergeCell ref="G14:G17"/>
    <mergeCell ref="G20:G21"/>
    <mergeCell ref="G62:G64"/>
    <mergeCell ref="G37:G38"/>
    <mergeCell ref="G41:G42"/>
    <mergeCell ref="G43:G46"/>
    <mergeCell ref="G47:G49"/>
    <mergeCell ref="G50:G52"/>
    <mergeCell ref="G53:G56"/>
  </mergeCells>
  <conditionalFormatting sqref="A1:A1048576">
    <cfRule type="duplicateValues" dxfId="343" priority="140"/>
  </conditionalFormatting>
  <conditionalFormatting sqref="F9:F17 K9:K17">
    <cfRule type="containsText" dxfId="342" priority="135" operator="containsText" text="0">
      <formula>NOT(ISERROR(SEARCH("0",F9)))</formula>
    </cfRule>
    <cfRule type="containsText" dxfId="341" priority="136" operator="containsText" text="1">
      <formula>NOT(ISERROR(SEARCH("1",F9)))</formula>
    </cfRule>
  </conditionalFormatting>
  <conditionalFormatting sqref="F9:F17">
    <cfRule type="containsText" dxfId="340" priority="126" operator="containsText" text="NA - 1">
      <formula>NOT(ISERROR(SEARCH("NA - 1",F9)))</formula>
    </cfRule>
    <cfRule type="containsText" dxfId="339" priority="127" operator="containsText" text="NA - 0">
      <formula>NOT(ISERROR(SEARCH("NA - 0",F9)))</formula>
    </cfRule>
    <cfRule type="containsText" dxfId="338" priority="128" operator="containsText" text="N/A">
      <formula>NOT(ISERROR(SEARCH("N/A",F9)))</formula>
    </cfRule>
  </conditionalFormatting>
  <conditionalFormatting sqref="F20:F38">
    <cfRule type="containsText" dxfId="337" priority="68" operator="containsText" text="NA - 1">
      <formula>NOT(ISERROR(SEARCH("NA - 1",F20)))</formula>
    </cfRule>
    <cfRule type="containsText" dxfId="336" priority="69" operator="containsText" text="NA - 0">
      <formula>NOT(ISERROR(SEARCH("NA - 0",F20)))</formula>
    </cfRule>
    <cfRule type="containsText" dxfId="335" priority="70" operator="containsText" text="N/A">
      <formula>NOT(ISERROR(SEARCH("N/A",F20)))</formula>
    </cfRule>
    <cfRule type="containsText" dxfId="334" priority="71" operator="containsText" text="0">
      <formula>NOT(ISERROR(SEARCH("0",F20)))</formula>
    </cfRule>
    <cfRule type="containsText" dxfId="333" priority="72" operator="containsText" text="1">
      <formula>NOT(ISERROR(SEARCH("1",F20)))</formula>
    </cfRule>
  </conditionalFormatting>
  <conditionalFormatting sqref="F41:F56">
    <cfRule type="containsText" dxfId="332" priority="59" operator="containsText" text="NA - 1">
      <formula>NOT(ISERROR(SEARCH("NA - 1",F41)))</formula>
    </cfRule>
    <cfRule type="containsText" dxfId="331" priority="60" operator="containsText" text="NA - 0">
      <formula>NOT(ISERROR(SEARCH("NA - 0",F41)))</formula>
    </cfRule>
    <cfRule type="containsText" dxfId="330" priority="61" operator="containsText" text="N/A">
      <formula>NOT(ISERROR(SEARCH("N/A",F41)))</formula>
    </cfRule>
    <cfRule type="containsText" dxfId="329" priority="62" operator="containsText" text="0">
      <formula>NOT(ISERROR(SEARCH("0",F41)))</formula>
    </cfRule>
    <cfRule type="containsText" dxfId="328" priority="63" operator="containsText" text="1">
      <formula>NOT(ISERROR(SEARCH("1",F41)))</formula>
    </cfRule>
  </conditionalFormatting>
  <conditionalFormatting sqref="F59">
    <cfRule type="containsText" dxfId="327" priority="33" operator="containsText" text="NA - 1">
      <formula>NOT(ISERROR(SEARCH("NA - 1",F59)))</formula>
    </cfRule>
    <cfRule type="containsText" dxfId="326" priority="34" operator="containsText" text="NA - 0">
      <formula>NOT(ISERROR(SEARCH("NA - 0",F59)))</formula>
    </cfRule>
    <cfRule type="containsText" dxfId="325" priority="35" operator="containsText" text="N/A">
      <formula>NOT(ISERROR(SEARCH("N/A",F59)))</formula>
    </cfRule>
    <cfRule type="containsText" dxfId="324" priority="36" operator="containsText" text="0">
      <formula>NOT(ISERROR(SEARCH("0",F59)))</formula>
    </cfRule>
    <cfRule type="containsText" dxfId="323" priority="37" operator="containsText" text="1">
      <formula>NOT(ISERROR(SEARCH("1",F59)))</formula>
    </cfRule>
  </conditionalFormatting>
  <conditionalFormatting sqref="F62:F66">
    <cfRule type="containsText" dxfId="322" priority="15" operator="containsText" text="NA - 1">
      <formula>NOT(ISERROR(SEARCH("NA - 1",F62)))</formula>
    </cfRule>
    <cfRule type="containsText" dxfId="321" priority="16" operator="containsText" text="NA - 0">
      <formula>NOT(ISERROR(SEARCH("NA - 0",F62)))</formula>
    </cfRule>
    <cfRule type="containsText" dxfId="320" priority="17" operator="containsText" text="N/A">
      <formula>NOT(ISERROR(SEARCH("N/A",F62)))</formula>
    </cfRule>
    <cfRule type="containsText" dxfId="319" priority="18" operator="containsText" text="0">
      <formula>NOT(ISERROR(SEARCH("0",F62)))</formula>
    </cfRule>
    <cfRule type="containsText" dxfId="318" priority="19" operator="containsText" text="1">
      <formula>NOT(ISERROR(SEARCH("1",F62)))</formula>
    </cfRule>
  </conditionalFormatting>
  <conditionalFormatting sqref="K20:K38">
    <cfRule type="containsText" dxfId="317" priority="5" operator="containsText" text="0">
      <formula>NOT(ISERROR(SEARCH("0",K20)))</formula>
    </cfRule>
    <cfRule type="containsText" dxfId="316" priority="6" operator="containsText" text="1">
      <formula>NOT(ISERROR(SEARCH("1",K20)))</formula>
    </cfRule>
  </conditionalFormatting>
  <conditionalFormatting sqref="K41:K56">
    <cfRule type="containsText" dxfId="315" priority="3" operator="containsText" text="0">
      <formula>NOT(ISERROR(SEARCH("0",K41)))</formula>
    </cfRule>
    <cfRule type="containsText" dxfId="314" priority="4" operator="containsText" text="1">
      <formula>NOT(ISERROR(SEARCH("1",K41)))</formula>
    </cfRule>
  </conditionalFormatting>
  <conditionalFormatting sqref="K59 K62:K66">
    <cfRule type="containsText" dxfId="313" priority="1" operator="containsText" text="0">
      <formula>NOT(ISERROR(SEARCH("0",K59)))</formula>
    </cfRule>
    <cfRule type="containsText" dxfId="312" priority="2" operator="containsText" text="1">
      <formula>NOT(ISERROR(SEARCH("1",K59)))</formula>
    </cfRule>
  </conditionalFormatting>
  <dataValidations count="2">
    <dataValidation type="list" showErrorMessage="1" sqref="F20:F38 F9:F17 F62:F66 F59 F41:F56" xr:uid="{E50EE0E7-311B-4EDE-9CB0-8B97C1FDD829}">
      <formula1>$Y$1:$Y$5</formula1>
    </dataValidation>
    <dataValidation type="list" showErrorMessage="1" sqref="K59 K9:K17 K41:K56 K20:K38 K62:K66" xr:uid="{BDFBE184-E841-4D16-B120-8711B78565BF}">
      <formula1>$Y$1:$Y$3</formula1>
    </dataValidation>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60648-E100-475A-875C-8C22EFA58669}">
  <sheetPr>
    <tabColor rgb="FFFF0000"/>
  </sheetPr>
  <dimension ref="A1:Z61"/>
  <sheetViews>
    <sheetView showGridLines="0" zoomScale="70" zoomScaleNormal="70" workbookViewId="0">
      <pane xSplit="2" ySplit="6" topLeftCell="C18" activePane="bottomRight" state="frozen"/>
      <selection activeCell="E30" sqref="E30"/>
      <selection pane="topRight" activeCell="E30" sqref="E30"/>
      <selection pane="bottomLeft" activeCell="E30" sqref="E30"/>
      <selection pane="bottomRight" activeCell="I4" sqref="I4"/>
    </sheetView>
  </sheetViews>
  <sheetFormatPr baseColWidth="10" defaultColWidth="11" defaultRowHeight="15.75" outlineLevelRow="1" outlineLevelCol="1" x14ac:dyDescent="0.25"/>
  <cols>
    <col min="1" max="1" width="4.375" style="8" bestFit="1" customWidth="1"/>
    <col min="2" max="2" width="8.125" style="19" customWidth="1"/>
    <col min="3" max="3" width="31.625" style="1" bestFit="1" customWidth="1"/>
    <col min="4" max="4" width="8.625" style="9" customWidth="1"/>
    <col min="5" max="5" width="79.125" customWidth="1"/>
    <col min="6" max="6" width="14.75" style="1" customWidth="1"/>
    <col min="7" max="7" width="26" style="1" customWidth="1"/>
    <col min="8" max="8" width="9.125" style="1" bestFit="1" customWidth="1"/>
    <col min="9" max="9" width="27.375" style="1" customWidth="1"/>
    <col min="10" max="10" width="3.375" customWidth="1"/>
    <col min="11" max="11" width="8.875" style="1" customWidth="1"/>
    <col min="12" max="12" width="10.625" style="1" customWidth="1"/>
    <col min="13" max="13" width="3.875" customWidth="1"/>
    <col min="14" max="14" width="21.5" customWidth="1" outlineLevel="1"/>
    <col min="15" max="15" width="18.125" style="1" customWidth="1" outlineLevel="1"/>
  </cols>
  <sheetData>
    <row r="1" spans="1:26" hidden="1" x14ac:dyDescent="0.25">
      <c r="F1" s="153"/>
      <c r="Z1">
        <v>0</v>
      </c>
    </row>
    <row r="2" spans="1:26" ht="36" customHeight="1" x14ac:dyDescent="0.25">
      <c r="F2" s="50" t="s">
        <v>853</v>
      </c>
      <c r="G2" s="240"/>
      <c r="J2" s="1"/>
      <c r="K2" s="50" t="s">
        <v>854</v>
      </c>
      <c r="Z2">
        <v>1</v>
      </c>
    </row>
    <row r="3" spans="1:26" ht="21.75" customHeight="1" x14ac:dyDescent="0.5">
      <c r="B3" s="39"/>
      <c r="D3" s="39"/>
      <c r="E3" s="49" t="str">
        <f>+B5</f>
        <v>Area de interés : Procesos Logísticos</v>
      </c>
      <c r="F3" s="52">
        <f>+O8+O18+O28+O36+O48+O56</f>
        <v>0.96000000000000008</v>
      </c>
      <c r="G3" s="305"/>
      <c r="K3" s="52">
        <f>+K8*N8+K18*N18+K28*N28+K36*N36+K48*N48+K56*N56</f>
        <v>0.95499999999999996</v>
      </c>
      <c r="N3" s="280" t="s">
        <v>1256</v>
      </c>
      <c r="O3" s="54">
        <v>0.25</v>
      </c>
      <c r="Z3" t="s">
        <v>142</v>
      </c>
    </row>
    <row r="4" spans="1:26" ht="21.75" customHeight="1" x14ac:dyDescent="0.7">
      <c r="B4" s="40"/>
      <c r="E4" s="49" t="s">
        <v>860</v>
      </c>
      <c r="F4" s="52">
        <f>+F3*O3</f>
        <v>0.24000000000000002</v>
      </c>
      <c r="G4" s="335">
        <f>+F4+IFT!F4+GST!F4+IDP!F4</f>
        <v>0.95677083327449997</v>
      </c>
      <c r="K4" s="52">
        <f>+K3*O3</f>
        <v>0.23874999999999999</v>
      </c>
      <c r="L4" s="335">
        <f>+K4+IFT!K4+GST!K4+IDP!K4</f>
        <v>0.95931499994699998</v>
      </c>
      <c r="Z4" t="s">
        <v>1229</v>
      </c>
    </row>
    <row r="5" spans="1:26" ht="36" x14ac:dyDescent="0.55000000000000004">
      <c r="B5" s="67" t="s">
        <v>1337</v>
      </c>
      <c r="E5" s="76"/>
      <c r="N5" s="359" t="s">
        <v>1255</v>
      </c>
      <c r="O5" s="360"/>
      <c r="Z5" t="s">
        <v>1230</v>
      </c>
    </row>
    <row r="6" spans="1:26" ht="18.75" x14ac:dyDescent="0.25">
      <c r="B6" s="49" t="s">
        <v>4</v>
      </c>
      <c r="C6" s="49" t="s">
        <v>153</v>
      </c>
      <c r="D6" s="49"/>
      <c r="E6" s="49" t="s">
        <v>118</v>
      </c>
      <c r="F6" s="50" t="s">
        <v>853</v>
      </c>
      <c r="G6" s="49" t="s">
        <v>1242</v>
      </c>
      <c r="H6" s="49" t="s">
        <v>1725</v>
      </c>
      <c r="I6" s="49" t="s">
        <v>514</v>
      </c>
      <c r="K6" s="50" t="s">
        <v>854</v>
      </c>
      <c r="N6" s="276" t="s">
        <v>1257</v>
      </c>
      <c r="O6" s="277" t="s">
        <v>1258</v>
      </c>
    </row>
    <row r="7" spans="1:26" ht="6" customHeight="1" x14ac:dyDescent="0.25"/>
    <row r="8" spans="1:26" ht="36.75" customHeight="1" x14ac:dyDescent="0.25">
      <c r="B8" s="283">
        <v>6</v>
      </c>
      <c r="C8" s="289" t="s">
        <v>1332</v>
      </c>
      <c r="D8" s="284"/>
      <c r="E8" s="285"/>
      <c r="F8" s="286">
        <f>SUMPRODUCT(F9:F16,N9:N16,O9:O16)</f>
        <v>1.0000000000000002</v>
      </c>
      <c r="G8" s="287"/>
      <c r="H8" s="287"/>
      <c r="I8" s="288"/>
      <c r="K8" s="286">
        <f>SUMPRODUCT(K9:K16,N9:N16,O9:O16)</f>
        <v>1.0000000000000002</v>
      </c>
      <c r="N8" s="60">
        <f>+[1]MATRIZ!$G$13</f>
        <v>0.2</v>
      </c>
      <c r="O8" s="278">
        <f>+N8*F8</f>
        <v>0.20000000000000007</v>
      </c>
    </row>
    <row r="9" spans="1:26" ht="46.5" hidden="1" customHeight="1" outlineLevel="1" x14ac:dyDescent="0.25">
      <c r="A9" s="8">
        <f>+IFT!A66+1</f>
        <v>51</v>
      </c>
      <c r="B9" s="41" t="s">
        <v>364</v>
      </c>
      <c r="C9" s="298" t="s">
        <v>1338</v>
      </c>
      <c r="D9" s="42" t="s">
        <v>125</v>
      </c>
      <c r="E9" s="43" t="s">
        <v>1340</v>
      </c>
      <c r="F9" s="190">
        <v>1</v>
      </c>
      <c r="G9" s="399" t="s">
        <v>1339</v>
      </c>
      <c r="H9" s="44"/>
      <c r="I9" s="191"/>
      <c r="K9" s="190">
        <f>+[2]PLG!F9</f>
        <v>1</v>
      </c>
      <c r="N9" s="61">
        <v>0.6</v>
      </c>
      <c r="O9" s="61">
        <v>0.45</v>
      </c>
    </row>
    <row r="10" spans="1:26" hidden="1" outlineLevel="1" x14ac:dyDescent="0.25">
      <c r="A10" s="8">
        <f>A9+1</f>
        <v>52</v>
      </c>
      <c r="B10" s="41" t="s">
        <v>364</v>
      </c>
      <c r="C10" s="296" t="s">
        <v>1338</v>
      </c>
      <c r="D10" s="42" t="s">
        <v>126</v>
      </c>
      <c r="E10" s="43" t="s">
        <v>299</v>
      </c>
      <c r="F10" s="190">
        <v>1</v>
      </c>
      <c r="G10" s="357"/>
      <c r="H10" s="44"/>
      <c r="I10" s="191"/>
      <c r="K10" s="190">
        <f>+[2]PLG!F10</f>
        <v>1</v>
      </c>
      <c r="N10" s="61">
        <v>0.4</v>
      </c>
      <c r="O10" s="61">
        <v>0.45</v>
      </c>
    </row>
    <row r="11" spans="1:26" ht="31.5" hidden="1" customHeight="1" outlineLevel="1" x14ac:dyDescent="0.25">
      <c r="A11" s="8">
        <f>A10+1</f>
        <v>53</v>
      </c>
      <c r="B11" s="41" t="s">
        <v>365</v>
      </c>
      <c r="C11" s="297" t="s">
        <v>1341</v>
      </c>
      <c r="D11" s="42" t="s">
        <v>127</v>
      </c>
      <c r="E11" s="43" t="s">
        <v>1342</v>
      </c>
      <c r="F11" s="190">
        <v>1</v>
      </c>
      <c r="G11" s="299" t="s">
        <v>1343</v>
      </c>
      <c r="H11" s="44"/>
      <c r="I11" s="191"/>
      <c r="K11" s="190">
        <f>+[2]PLG!F11</f>
        <v>1</v>
      </c>
      <c r="N11" s="61">
        <v>1</v>
      </c>
      <c r="O11" s="61">
        <v>0.3</v>
      </c>
    </row>
    <row r="12" spans="1:26" ht="15.75" hidden="1" customHeight="1" outlineLevel="1" x14ac:dyDescent="0.25">
      <c r="A12" s="8">
        <f t="shared" ref="A12:A15" si="0">A11+1</f>
        <v>54</v>
      </c>
      <c r="B12" s="41" t="s">
        <v>366</v>
      </c>
      <c r="C12" s="292" t="s">
        <v>94</v>
      </c>
      <c r="D12" s="42" t="s">
        <v>128</v>
      </c>
      <c r="E12" s="43" t="s">
        <v>82</v>
      </c>
      <c r="F12" s="190">
        <v>1</v>
      </c>
      <c r="G12" s="355" t="s">
        <v>1348</v>
      </c>
      <c r="H12" s="44" t="s">
        <v>1349</v>
      </c>
      <c r="I12" s="191"/>
      <c r="K12" s="190">
        <f>+[2]PLG!F12</f>
        <v>1</v>
      </c>
      <c r="N12" s="61">
        <v>0.3</v>
      </c>
      <c r="O12" s="61">
        <v>0.15</v>
      </c>
    </row>
    <row r="13" spans="1:26" ht="31.5" hidden="1" outlineLevel="1" x14ac:dyDescent="0.25">
      <c r="A13" s="8">
        <f t="shared" si="0"/>
        <v>55</v>
      </c>
      <c r="B13" s="41" t="s">
        <v>366</v>
      </c>
      <c r="C13" s="291" t="s">
        <v>94</v>
      </c>
      <c r="D13" s="42" t="s">
        <v>1344</v>
      </c>
      <c r="E13" s="43" t="s">
        <v>83</v>
      </c>
      <c r="F13" s="190">
        <v>1</v>
      </c>
      <c r="G13" s="356"/>
      <c r="H13" s="44" t="s">
        <v>1349</v>
      </c>
      <c r="I13" s="191"/>
      <c r="K13" s="190">
        <f>+[2]PLG!F13</f>
        <v>1</v>
      </c>
      <c r="N13" s="61">
        <v>0.3</v>
      </c>
      <c r="O13" s="61">
        <v>0.15</v>
      </c>
    </row>
    <row r="14" spans="1:26" ht="31.5" hidden="1" outlineLevel="1" x14ac:dyDescent="0.25">
      <c r="A14" s="8">
        <f t="shared" si="0"/>
        <v>56</v>
      </c>
      <c r="B14" s="41" t="s">
        <v>366</v>
      </c>
      <c r="C14" s="292" t="s">
        <v>94</v>
      </c>
      <c r="D14" s="42" t="s">
        <v>1345</v>
      </c>
      <c r="E14" s="43" t="s">
        <v>84</v>
      </c>
      <c r="F14" s="190">
        <v>1</v>
      </c>
      <c r="G14" s="356"/>
      <c r="H14" s="44" t="s">
        <v>1349</v>
      </c>
      <c r="I14" s="191"/>
      <c r="K14" s="190">
        <f>+[2]PLG!F14</f>
        <v>1</v>
      </c>
      <c r="N14" s="61">
        <v>0.2</v>
      </c>
      <c r="O14" s="61">
        <v>0.15</v>
      </c>
    </row>
    <row r="15" spans="1:26" ht="31.5" hidden="1" outlineLevel="1" x14ac:dyDescent="0.25">
      <c r="A15" s="8">
        <f t="shared" si="0"/>
        <v>57</v>
      </c>
      <c r="B15" s="41" t="s">
        <v>366</v>
      </c>
      <c r="C15" s="294" t="s">
        <v>94</v>
      </c>
      <c r="D15" s="42" t="s">
        <v>1346</v>
      </c>
      <c r="E15" s="43" t="s">
        <v>1347</v>
      </c>
      <c r="F15" s="190">
        <v>1</v>
      </c>
      <c r="G15" s="401"/>
      <c r="H15" s="44" t="s">
        <v>1349</v>
      </c>
      <c r="I15" s="191"/>
      <c r="K15" s="190">
        <f>+[2]PLG!F15</f>
        <v>1</v>
      </c>
      <c r="N15" s="61">
        <v>0.2</v>
      </c>
      <c r="O15" s="61">
        <v>0.15</v>
      </c>
    </row>
    <row r="16" spans="1:26" ht="31.5" hidden="1" customHeight="1" outlineLevel="1" x14ac:dyDescent="0.25">
      <c r="A16" s="8">
        <f>A15+1</f>
        <v>58</v>
      </c>
      <c r="B16" s="41" t="s">
        <v>367</v>
      </c>
      <c r="C16" s="297" t="s">
        <v>1350</v>
      </c>
      <c r="D16" s="42" t="s">
        <v>129</v>
      </c>
      <c r="E16" s="43" t="s">
        <v>1351</v>
      </c>
      <c r="F16" s="190">
        <v>1</v>
      </c>
      <c r="G16" s="299" t="s">
        <v>1352</v>
      </c>
      <c r="H16" s="44"/>
      <c r="I16" s="191"/>
      <c r="K16" s="190">
        <f>+[2]PLG!F16</f>
        <v>1</v>
      </c>
      <c r="N16" s="61">
        <v>1</v>
      </c>
      <c r="O16" s="61">
        <v>0.1</v>
      </c>
    </row>
    <row r="17" spans="1:15" collapsed="1" x14ac:dyDescent="0.25">
      <c r="C17" s="295"/>
    </row>
    <row r="18" spans="1:15" ht="36.75" customHeight="1" x14ac:dyDescent="0.25">
      <c r="B18" s="283">
        <v>7</v>
      </c>
      <c r="C18" s="289" t="s">
        <v>1291</v>
      </c>
      <c r="D18" s="284"/>
      <c r="E18" s="285"/>
      <c r="F18" s="286">
        <f>SUMPRODUCT(F19:F26,N19:N26,O19:O26)</f>
        <v>0.74999999999999989</v>
      </c>
      <c r="G18" s="287"/>
      <c r="H18" s="287"/>
      <c r="I18" s="288"/>
      <c r="K18" s="286">
        <f>SUMPRODUCT(K19:K26,N19:N26,O19:O26)</f>
        <v>1</v>
      </c>
      <c r="N18" s="60">
        <f>+[1]MATRIZ!$G$14</f>
        <v>0.1</v>
      </c>
      <c r="O18" s="278">
        <f>+N18*F18</f>
        <v>7.4999999999999997E-2</v>
      </c>
    </row>
    <row r="19" spans="1:15" ht="38.25" hidden="1" customHeight="1" outlineLevel="1" x14ac:dyDescent="0.25">
      <c r="A19" s="8">
        <f>+A16+1</f>
        <v>59</v>
      </c>
      <c r="B19" s="41" t="s">
        <v>76</v>
      </c>
      <c r="C19" s="291" t="s">
        <v>1353</v>
      </c>
      <c r="D19" s="42" t="s">
        <v>377</v>
      </c>
      <c r="E19" s="43" t="s">
        <v>1354</v>
      </c>
      <c r="F19" s="190">
        <v>0</v>
      </c>
      <c r="G19" s="399" t="s">
        <v>1357</v>
      </c>
      <c r="H19" s="44"/>
      <c r="I19" s="191" t="s">
        <v>1777</v>
      </c>
      <c r="K19" s="190">
        <f>+[2]PLG!F19</f>
        <v>1</v>
      </c>
      <c r="N19" s="61">
        <v>0.5</v>
      </c>
      <c r="O19" s="61">
        <v>0.5</v>
      </c>
    </row>
    <row r="20" spans="1:15" ht="38.25" hidden="1" customHeight="1" outlineLevel="1" x14ac:dyDescent="0.25">
      <c r="A20" s="8">
        <f>A19+1</f>
        <v>60</v>
      </c>
      <c r="B20" s="41" t="s">
        <v>76</v>
      </c>
      <c r="C20" s="296" t="str">
        <f>+C19</f>
        <v>ORGANIZACIÓN DEL LAY OUT</v>
      </c>
      <c r="D20" s="42" t="s">
        <v>1356</v>
      </c>
      <c r="E20" s="43" t="s">
        <v>1355</v>
      </c>
      <c r="F20" s="190">
        <v>1</v>
      </c>
      <c r="G20" s="357"/>
      <c r="H20" s="44"/>
      <c r="I20" s="191"/>
      <c r="K20" s="190">
        <f>+[2]PLG!F20</f>
        <v>1</v>
      </c>
      <c r="N20" s="61">
        <v>0.5</v>
      </c>
      <c r="O20" s="61">
        <v>0.5</v>
      </c>
    </row>
    <row r="21" spans="1:15" ht="38.25" hidden="1" customHeight="1" outlineLevel="1" x14ac:dyDescent="0.25">
      <c r="A21" s="8">
        <f t="shared" ref="A21:A26" si="1">A20+1</f>
        <v>61</v>
      </c>
      <c r="B21" s="41" t="s">
        <v>77</v>
      </c>
      <c r="C21" s="292" t="s">
        <v>1358</v>
      </c>
      <c r="D21" s="42" t="s">
        <v>379</v>
      </c>
      <c r="E21" s="43" t="s">
        <v>290</v>
      </c>
      <c r="F21" s="190">
        <v>1</v>
      </c>
      <c r="G21" s="402" t="s">
        <v>1360</v>
      </c>
      <c r="H21" s="44"/>
      <c r="I21" s="191"/>
      <c r="K21" s="190">
        <f>+[2]PLG!F21</f>
        <v>1</v>
      </c>
      <c r="N21" s="61">
        <v>0.3</v>
      </c>
      <c r="O21" s="61">
        <v>0.15</v>
      </c>
    </row>
    <row r="22" spans="1:15" ht="38.25" hidden="1" customHeight="1" outlineLevel="1" x14ac:dyDescent="0.25">
      <c r="A22" s="8">
        <f t="shared" si="1"/>
        <v>62</v>
      </c>
      <c r="B22" s="41" t="s">
        <v>77</v>
      </c>
      <c r="C22" s="291" t="s">
        <v>1358</v>
      </c>
      <c r="D22" s="42" t="s">
        <v>414</v>
      </c>
      <c r="E22" s="43" t="s">
        <v>291</v>
      </c>
      <c r="F22" s="190">
        <v>1</v>
      </c>
      <c r="G22" s="403"/>
      <c r="H22" s="44"/>
      <c r="I22" s="191"/>
      <c r="K22" s="190">
        <f>+[2]PLG!F22</f>
        <v>1</v>
      </c>
      <c r="N22" s="61">
        <v>0.4</v>
      </c>
      <c r="O22" s="61">
        <v>0.15</v>
      </c>
    </row>
    <row r="23" spans="1:15" ht="38.25" hidden="1" customHeight="1" outlineLevel="1" x14ac:dyDescent="0.25">
      <c r="A23" s="8">
        <f t="shared" si="1"/>
        <v>63</v>
      </c>
      <c r="B23" s="41" t="s">
        <v>77</v>
      </c>
      <c r="C23" s="296" t="str">
        <f>+C22</f>
        <v>IDENTIFICACION DEL LAY OUT</v>
      </c>
      <c r="D23" s="42" t="s">
        <v>415</v>
      </c>
      <c r="E23" s="43" t="s">
        <v>1359</v>
      </c>
      <c r="F23" s="190">
        <v>1</v>
      </c>
      <c r="G23" s="400"/>
      <c r="H23" s="44"/>
      <c r="I23" s="191"/>
      <c r="K23" s="190">
        <f>+[2]PLG!F23</f>
        <v>1</v>
      </c>
      <c r="N23" s="61">
        <v>0.3</v>
      </c>
      <c r="O23" s="61">
        <v>0.15</v>
      </c>
    </row>
    <row r="24" spans="1:15" ht="38.25" hidden="1" customHeight="1" outlineLevel="1" x14ac:dyDescent="0.25">
      <c r="A24" s="8">
        <f t="shared" si="1"/>
        <v>64</v>
      </c>
      <c r="B24" s="41" t="s">
        <v>78</v>
      </c>
      <c r="C24" s="292" t="s">
        <v>1358</v>
      </c>
      <c r="D24" s="42" t="s">
        <v>380</v>
      </c>
      <c r="E24" s="43" t="s">
        <v>294</v>
      </c>
      <c r="F24" s="190">
        <v>1</v>
      </c>
      <c r="G24" s="402" t="s">
        <v>1363</v>
      </c>
      <c r="H24" s="44"/>
      <c r="I24" s="191"/>
      <c r="K24" s="190">
        <f>+[2]PLG!F24</f>
        <v>1</v>
      </c>
      <c r="N24" s="61">
        <v>0.4</v>
      </c>
      <c r="O24" s="61">
        <v>0.35</v>
      </c>
    </row>
    <row r="25" spans="1:15" ht="38.25" hidden="1" customHeight="1" outlineLevel="1" x14ac:dyDescent="0.25">
      <c r="A25" s="8">
        <f t="shared" si="1"/>
        <v>65</v>
      </c>
      <c r="B25" s="41" t="s">
        <v>78</v>
      </c>
      <c r="C25" s="291" t="s">
        <v>1361</v>
      </c>
      <c r="D25" s="42" t="s">
        <v>659</v>
      </c>
      <c r="E25" s="43" t="s">
        <v>295</v>
      </c>
      <c r="F25" s="190">
        <v>1</v>
      </c>
      <c r="G25" s="403"/>
      <c r="H25" s="44"/>
      <c r="I25" s="191"/>
      <c r="K25" s="190">
        <f>+[2]PLG!F25</f>
        <v>1</v>
      </c>
      <c r="N25" s="61">
        <v>0.3</v>
      </c>
      <c r="O25" s="61">
        <v>0.35</v>
      </c>
    </row>
    <row r="26" spans="1:15" ht="38.25" hidden="1" customHeight="1" outlineLevel="1" x14ac:dyDescent="0.25">
      <c r="A26" s="8">
        <f t="shared" si="1"/>
        <v>66</v>
      </c>
      <c r="B26" s="41" t="s">
        <v>78</v>
      </c>
      <c r="C26" s="296" t="str">
        <f>+C25</f>
        <v>ROTACION</v>
      </c>
      <c r="D26" s="42" t="s">
        <v>659</v>
      </c>
      <c r="E26" s="43" t="s">
        <v>1362</v>
      </c>
      <c r="F26" s="190">
        <v>1</v>
      </c>
      <c r="G26" s="400"/>
      <c r="H26" s="44"/>
      <c r="I26" s="191"/>
      <c r="K26" s="190">
        <f>+[2]PLG!F26</f>
        <v>1</v>
      </c>
      <c r="N26" s="61">
        <v>0.3</v>
      </c>
      <c r="O26" s="61">
        <v>0.35</v>
      </c>
    </row>
    <row r="27" spans="1:15" collapsed="1" x14ac:dyDescent="0.25">
      <c r="C27" s="295"/>
    </row>
    <row r="28" spans="1:15" ht="36.75" customHeight="1" x14ac:dyDescent="0.25">
      <c r="B28" s="283">
        <v>8</v>
      </c>
      <c r="C28" s="289" t="s">
        <v>1333</v>
      </c>
      <c r="D28" s="284"/>
      <c r="E28" s="285"/>
      <c r="F28" s="286">
        <f>SUMPRODUCT(F29:F34,N29:N34,O29:O34)</f>
        <v>1</v>
      </c>
      <c r="G28" s="287"/>
      <c r="H28" s="287"/>
      <c r="I28" s="288"/>
      <c r="K28" s="286">
        <f>SUMPRODUCT(K29:K34,N29:N34,O29:O34)</f>
        <v>1</v>
      </c>
      <c r="N28" s="60">
        <f>+[1]MATRIZ!$G$15</f>
        <v>0.25</v>
      </c>
      <c r="O28" s="278">
        <f>+N28*F28</f>
        <v>0.25</v>
      </c>
    </row>
    <row r="29" spans="1:15" ht="38.25" hidden="1" customHeight="1" outlineLevel="1" x14ac:dyDescent="0.25">
      <c r="A29" s="8">
        <f>+A26+1</f>
        <v>67</v>
      </c>
      <c r="B29" s="41" t="s">
        <v>80</v>
      </c>
      <c r="C29" s="292" t="s">
        <v>1364</v>
      </c>
      <c r="D29" s="42" t="s">
        <v>387</v>
      </c>
      <c r="E29" s="43" t="s">
        <v>1365</v>
      </c>
      <c r="F29" s="190">
        <v>1</v>
      </c>
      <c r="G29" s="399" t="s">
        <v>1368</v>
      </c>
      <c r="H29" s="44"/>
      <c r="I29" s="191"/>
      <c r="K29" s="190">
        <f>+[2]PLG!F29</f>
        <v>1</v>
      </c>
      <c r="N29" s="61">
        <v>0.3</v>
      </c>
      <c r="O29" s="61">
        <v>0.2</v>
      </c>
    </row>
    <row r="30" spans="1:15" ht="38.25" hidden="1" customHeight="1" outlineLevel="1" x14ac:dyDescent="0.25">
      <c r="A30" s="8">
        <f t="shared" ref="A30:A31" si="2">A29+1</f>
        <v>68</v>
      </c>
      <c r="B30" s="41" t="s">
        <v>80</v>
      </c>
      <c r="C30" s="291" t="s">
        <v>1364</v>
      </c>
      <c r="D30" s="42" t="s">
        <v>388</v>
      </c>
      <c r="E30" s="43" t="s">
        <v>1366</v>
      </c>
      <c r="F30" s="190">
        <v>1</v>
      </c>
      <c r="G30" s="403"/>
      <c r="H30" s="44"/>
      <c r="I30" s="191"/>
      <c r="K30" s="190">
        <f>+[2]PLG!F30</f>
        <v>1</v>
      </c>
      <c r="N30" s="61">
        <v>0.4</v>
      </c>
      <c r="O30" s="61">
        <v>0.2</v>
      </c>
    </row>
    <row r="31" spans="1:15" ht="38.25" hidden="1" customHeight="1" outlineLevel="1" x14ac:dyDescent="0.25">
      <c r="A31" s="8">
        <f t="shared" si="2"/>
        <v>69</v>
      </c>
      <c r="B31" s="41" t="s">
        <v>80</v>
      </c>
      <c r="C31" s="296" t="str">
        <f>+C29</f>
        <v>REPOSICIÓN DE MERCADERIA</v>
      </c>
      <c r="D31" s="42" t="s">
        <v>389</v>
      </c>
      <c r="E31" s="43" t="s">
        <v>1367</v>
      </c>
      <c r="F31" s="190">
        <v>1</v>
      </c>
      <c r="G31" s="400"/>
      <c r="H31" s="44"/>
      <c r="I31" s="191"/>
      <c r="K31" s="190">
        <f>+[2]PLG!F31</f>
        <v>1</v>
      </c>
      <c r="N31" s="61">
        <v>0.3</v>
      </c>
      <c r="O31" s="61">
        <v>0.2</v>
      </c>
    </row>
    <row r="32" spans="1:15" ht="38.25" hidden="1" customHeight="1" outlineLevel="1" x14ac:dyDescent="0.25">
      <c r="A32" s="8">
        <f>+A31+1</f>
        <v>70</v>
      </c>
      <c r="B32" s="41" t="s">
        <v>81</v>
      </c>
      <c r="C32" s="292" t="str">
        <f>+C33</f>
        <v>INVENTARIOS ROTATIVOS</v>
      </c>
      <c r="D32" s="42" t="s">
        <v>390</v>
      </c>
      <c r="E32" s="43" t="s">
        <v>300</v>
      </c>
      <c r="F32" s="190">
        <v>1</v>
      </c>
      <c r="G32" s="399" t="s">
        <v>1371</v>
      </c>
      <c r="H32" s="44" t="s">
        <v>1372</v>
      </c>
      <c r="I32" s="191"/>
      <c r="K32" s="190">
        <f>+[2]PLG!F32</f>
        <v>1</v>
      </c>
      <c r="N32" s="61">
        <v>0.4</v>
      </c>
      <c r="O32" s="61">
        <v>0.8</v>
      </c>
    </row>
    <row r="33" spans="1:15" ht="38.25" hidden="1" customHeight="1" outlineLevel="1" x14ac:dyDescent="0.25">
      <c r="A33" s="8">
        <f t="shared" ref="A33:A34" si="3">A32+1</f>
        <v>71</v>
      </c>
      <c r="B33" s="41" t="s">
        <v>81</v>
      </c>
      <c r="C33" s="291" t="s">
        <v>148</v>
      </c>
      <c r="D33" s="42" t="s">
        <v>391</v>
      </c>
      <c r="E33" s="43" t="s">
        <v>1369</v>
      </c>
      <c r="F33" s="190">
        <v>1</v>
      </c>
      <c r="G33" s="403"/>
      <c r="H33" s="44" t="s">
        <v>1372</v>
      </c>
      <c r="I33" s="191" t="s">
        <v>1766</v>
      </c>
      <c r="K33" s="190">
        <f>+[2]PLG!F33</f>
        <v>1</v>
      </c>
      <c r="N33" s="61">
        <v>0.35</v>
      </c>
      <c r="O33" s="61">
        <v>0.8</v>
      </c>
    </row>
    <row r="34" spans="1:15" ht="38.25" hidden="1" customHeight="1" outlineLevel="1" x14ac:dyDescent="0.25">
      <c r="A34" s="8">
        <f t="shared" si="3"/>
        <v>72</v>
      </c>
      <c r="B34" s="41" t="s">
        <v>81</v>
      </c>
      <c r="C34" s="296" t="str">
        <f>+C32</f>
        <v>INVENTARIOS ROTATIVOS</v>
      </c>
      <c r="D34" s="42" t="s">
        <v>678</v>
      </c>
      <c r="E34" s="43" t="s">
        <v>1370</v>
      </c>
      <c r="F34" s="190">
        <v>1</v>
      </c>
      <c r="G34" s="400"/>
      <c r="H34" s="44" t="s">
        <v>1372</v>
      </c>
      <c r="I34" s="191" t="s">
        <v>1767</v>
      </c>
      <c r="K34" s="190">
        <f>+[2]PLG!F34</f>
        <v>1</v>
      </c>
      <c r="N34" s="61">
        <v>0.25</v>
      </c>
      <c r="O34" s="61">
        <v>0.8</v>
      </c>
    </row>
    <row r="35" spans="1:15" collapsed="1" x14ac:dyDescent="0.25">
      <c r="C35" s="295"/>
    </row>
    <row r="36" spans="1:15" ht="36.75" customHeight="1" x14ac:dyDescent="0.25">
      <c r="B36" s="283">
        <v>9</v>
      </c>
      <c r="C36" s="289" t="s">
        <v>1334</v>
      </c>
      <c r="D36" s="284"/>
      <c r="E36" s="285"/>
      <c r="F36" s="286">
        <f>SUMPRODUCT(F37:F46,N37:N46,O37:O46)</f>
        <v>1</v>
      </c>
      <c r="G36" s="287"/>
      <c r="H36" s="287"/>
      <c r="I36" s="288"/>
      <c r="K36" s="286">
        <f>SUMPRODUCT(K37:K46,N37:N46,O37:O46)</f>
        <v>0.88</v>
      </c>
      <c r="N36" s="60">
        <f>+[1]MATRIZ!$G$16</f>
        <v>0.25</v>
      </c>
      <c r="O36" s="278">
        <f>+N36*F36</f>
        <v>0.25</v>
      </c>
    </row>
    <row r="37" spans="1:15" ht="38.25" hidden="1" customHeight="1" outlineLevel="1" x14ac:dyDescent="0.25">
      <c r="A37" s="8">
        <f>+A34+1</f>
        <v>73</v>
      </c>
      <c r="B37" s="41" t="s">
        <v>398</v>
      </c>
      <c r="C37" s="291" t="s">
        <v>1373</v>
      </c>
      <c r="D37" s="42" t="s">
        <v>399</v>
      </c>
      <c r="E37" s="43" t="s">
        <v>1374</v>
      </c>
      <c r="F37" s="190">
        <v>1</v>
      </c>
      <c r="G37" s="399" t="s">
        <v>1376</v>
      </c>
      <c r="H37" s="44"/>
      <c r="I37" s="191"/>
      <c r="K37" s="190">
        <f>+[2]PLG!F37</f>
        <v>1</v>
      </c>
      <c r="N37" s="61">
        <v>0.6</v>
      </c>
      <c r="O37" s="61">
        <v>0.1</v>
      </c>
    </row>
    <row r="38" spans="1:15" ht="38.25" hidden="1" customHeight="1" outlineLevel="1" x14ac:dyDescent="0.25">
      <c r="A38" s="8">
        <f>A37+1</f>
        <v>74</v>
      </c>
      <c r="B38" s="41" t="s">
        <v>398</v>
      </c>
      <c r="C38" s="296" t="str">
        <f>+C37</f>
        <v>TRANSMISION DE PEDIDOS</v>
      </c>
      <c r="D38" s="42" t="s">
        <v>501</v>
      </c>
      <c r="E38" s="43" t="s">
        <v>1375</v>
      </c>
      <c r="F38" s="190">
        <v>1</v>
      </c>
      <c r="G38" s="357"/>
      <c r="H38" s="44"/>
      <c r="I38" s="191"/>
      <c r="K38" s="190">
        <f>+[2]PLG!F38</f>
        <v>1</v>
      </c>
      <c r="N38" s="61">
        <v>0.4</v>
      </c>
      <c r="O38" s="61">
        <v>0.1</v>
      </c>
    </row>
    <row r="39" spans="1:15" ht="38.25" hidden="1" customHeight="1" outlineLevel="1" x14ac:dyDescent="0.25">
      <c r="A39" s="8">
        <f>A38+1</f>
        <v>75</v>
      </c>
      <c r="B39" s="41" t="s">
        <v>400</v>
      </c>
      <c r="C39" s="291" t="s">
        <v>1377</v>
      </c>
      <c r="D39" s="42" t="s">
        <v>401</v>
      </c>
      <c r="E39" s="43" t="s">
        <v>297</v>
      </c>
      <c r="F39" s="190">
        <v>1</v>
      </c>
      <c r="G39" s="399" t="s">
        <v>1379</v>
      </c>
      <c r="H39" s="44"/>
      <c r="I39" s="191"/>
      <c r="K39" s="190">
        <f>+[2]PLG!F39</f>
        <v>1</v>
      </c>
      <c r="N39" s="61">
        <v>0.5</v>
      </c>
      <c r="O39" s="61">
        <v>0.15</v>
      </c>
    </row>
    <row r="40" spans="1:15" ht="38.25" hidden="1" customHeight="1" outlineLevel="1" x14ac:dyDescent="0.25">
      <c r="A40" s="8">
        <f>A39+1</f>
        <v>76</v>
      </c>
      <c r="B40" s="41" t="s">
        <v>400</v>
      </c>
      <c r="C40" s="296" t="str">
        <f>+C39</f>
        <v>ARMADO Y ASIGNACIÓN DE CONSOLIDADOS Y/O PEDIDOS</v>
      </c>
      <c r="D40" s="42" t="s">
        <v>502</v>
      </c>
      <c r="E40" s="43" t="s">
        <v>1378</v>
      </c>
      <c r="F40" s="190">
        <v>1</v>
      </c>
      <c r="G40" s="357"/>
      <c r="H40" s="44"/>
      <c r="I40" s="191"/>
      <c r="K40" s="190">
        <f>+[2]PLG!F40</f>
        <v>1</v>
      </c>
      <c r="N40" s="61">
        <v>0.5</v>
      </c>
      <c r="O40" s="61">
        <v>0.15</v>
      </c>
    </row>
    <row r="41" spans="1:15" ht="38.25" hidden="1" customHeight="1" outlineLevel="1" x14ac:dyDescent="0.25">
      <c r="A41" s="8">
        <f>+A40+1</f>
        <v>77</v>
      </c>
      <c r="B41" s="41" t="s">
        <v>406</v>
      </c>
      <c r="C41" s="292" t="str">
        <f>+C42</f>
        <v>CONTROL DE CONSOLIDADO</v>
      </c>
      <c r="D41" s="42" t="s">
        <v>402</v>
      </c>
      <c r="E41" s="43" t="s">
        <v>1382</v>
      </c>
      <c r="F41" s="190">
        <v>1</v>
      </c>
      <c r="G41" s="399" t="s">
        <v>1385</v>
      </c>
      <c r="H41" s="44"/>
      <c r="I41" s="191"/>
      <c r="K41" s="190">
        <f>+[2]PLG!F41</f>
        <v>0</v>
      </c>
      <c r="N41" s="61">
        <v>0.3</v>
      </c>
      <c r="O41" s="61">
        <v>0.4</v>
      </c>
    </row>
    <row r="42" spans="1:15" ht="38.25" hidden="1" customHeight="1" outlineLevel="1" x14ac:dyDescent="0.25">
      <c r="A42" s="8">
        <f t="shared" ref="A42:A43" si="4">A41+1</f>
        <v>78</v>
      </c>
      <c r="B42" s="41" t="s">
        <v>406</v>
      </c>
      <c r="C42" s="291" t="s">
        <v>1380</v>
      </c>
      <c r="D42" s="42" t="s">
        <v>411</v>
      </c>
      <c r="E42" s="43" t="s">
        <v>1383</v>
      </c>
      <c r="F42" s="190">
        <v>1</v>
      </c>
      <c r="G42" s="403"/>
      <c r="H42" s="44"/>
      <c r="I42" s="191"/>
      <c r="K42" s="190">
        <f>+[2]PLG!F42</f>
        <v>1</v>
      </c>
      <c r="N42" s="61">
        <v>0.45</v>
      </c>
      <c r="O42" s="61">
        <v>0.4</v>
      </c>
    </row>
    <row r="43" spans="1:15" ht="38.25" hidden="1" customHeight="1" outlineLevel="1" x14ac:dyDescent="0.25">
      <c r="A43" s="8">
        <f t="shared" si="4"/>
        <v>79</v>
      </c>
      <c r="B43" s="41" t="s">
        <v>406</v>
      </c>
      <c r="C43" s="296" t="str">
        <f>+C41</f>
        <v>CONTROL DE CONSOLIDADO</v>
      </c>
      <c r="D43" s="42" t="s">
        <v>1381</v>
      </c>
      <c r="E43" s="43" t="s">
        <v>1384</v>
      </c>
      <c r="F43" s="190">
        <v>1</v>
      </c>
      <c r="G43" s="400"/>
      <c r="H43" s="44"/>
      <c r="I43" s="191"/>
      <c r="K43" s="190">
        <f>+[2]PLG!F43</f>
        <v>1</v>
      </c>
      <c r="N43" s="61">
        <v>0.25</v>
      </c>
      <c r="O43" s="61">
        <v>0.4</v>
      </c>
    </row>
    <row r="44" spans="1:15" ht="38.25" hidden="1" customHeight="1" outlineLevel="1" x14ac:dyDescent="0.25">
      <c r="A44" s="8">
        <f>+A43+1</f>
        <v>80</v>
      </c>
      <c r="B44" s="41" t="s">
        <v>407</v>
      </c>
      <c r="C44" s="292" t="str">
        <f>+C45</f>
        <v>ARMADO DE PEDIDOS</v>
      </c>
      <c r="D44" s="42" t="s">
        <v>403</v>
      </c>
      <c r="E44" s="43" t="s">
        <v>1388</v>
      </c>
      <c r="F44" s="190">
        <v>1</v>
      </c>
      <c r="G44" s="399" t="s">
        <v>1389</v>
      </c>
      <c r="H44" s="44"/>
      <c r="I44" s="191"/>
      <c r="K44" s="190">
        <f>+[2]PLG!F44</f>
        <v>1</v>
      </c>
      <c r="N44" s="61">
        <v>0.3</v>
      </c>
      <c r="O44" s="61">
        <v>0.35</v>
      </c>
    </row>
    <row r="45" spans="1:15" ht="38.25" hidden="1" customHeight="1" outlineLevel="1" x14ac:dyDescent="0.25">
      <c r="A45" s="8">
        <f t="shared" ref="A45:A46" si="5">A44+1</f>
        <v>81</v>
      </c>
      <c r="B45" s="41" t="s">
        <v>407</v>
      </c>
      <c r="C45" s="291" t="s">
        <v>1386</v>
      </c>
      <c r="D45" s="42" t="s">
        <v>404</v>
      </c>
      <c r="E45" s="43" t="s">
        <v>767</v>
      </c>
      <c r="F45" s="190">
        <v>1</v>
      </c>
      <c r="G45" s="403"/>
      <c r="H45" s="44"/>
      <c r="I45" s="191"/>
      <c r="K45" s="190">
        <f>+[2]PLG!F45</f>
        <v>1</v>
      </c>
      <c r="N45" s="61">
        <v>0.3</v>
      </c>
      <c r="O45" s="61">
        <v>0.35</v>
      </c>
    </row>
    <row r="46" spans="1:15" ht="38.25" hidden="1" customHeight="1" outlineLevel="1" x14ac:dyDescent="0.25">
      <c r="A46" s="8">
        <f t="shared" si="5"/>
        <v>82</v>
      </c>
      <c r="B46" s="41" t="s">
        <v>407</v>
      </c>
      <c r="C46" s="296" t="str">
        <f>+C44</f>
        <v>ARMADO DE PEDIDOS</v>
      </c>
      <c r="D46" s="42" t="s">
        <v>1387</v>
      </c>
      <c r="E46" s="43" t="s">
        <v>296</v>
      </c>
      <c r="F46" s="190">
        <v>1</v>
      </c>
      <c r="G46" s="400"/>
      <c r="H46" s="44"/>
      <c r="I46" s="191"/>
      <c r="K46" s="190">
        <f>+[2]PLG!F46</f>
        <v>1</v>
      </c>
      <c r="N46" s="61">
        <v>0.4</v>
      </c>
      <c r="O46" s="61">
        <v>0.35</v>
      </c>
    </row>
    <row r="47" spans="1:15" collapsed="1" x14ac:dyDescent="0.25">
      <c r="C47" s="295"/>
    </row>
    <row r="48" spans="1:15" ht="36.75" customHeight="1" x14ac:dyDescent="0.25">
      <c r="B48" s="283">
        <v>10</v>
      </c>
      <c r="C48" s="289" t="s">
        <v>1315</v>
      </c>
      <c r="D48" s="284"/>
      <c r="E48" s="285"/>
      <c r="F48" s="286">
        <f>SUMPRODUCT(F49:F54,N49:N54,O49:O54)</f>
        <v>0.85</v>
      </c>
      <c r="G48" s="287"/>
      <c r="H48" s="287"/>
      <c r="I48" s="288"/>
      <c r="K48" s="286">
        <f>SUMPRODUCT(K49:K54,N49:N54,O49:O54)</f>
        <v>0.85</v>
      </c>
      <c r="N48" s="60">
        <f>+[1]MATRIZ!$G$17</f>
        <v>0.1</v>
      </c>
      <c r="O48" s="278">
        <f>+N48*F48</f>
        <v>8.5000000000000006E-2</v>
      </c>
    </row>
    <row r="49" spans="1:15" ht="53.25" hidden="1" customHeight="1" outlineLevel="1" x14ac:dyDescent="0.25">
      <c r="A49" s="8">
        <f>+A46+1</f>
        <v>83</v>
      </c>
      <c r="B49" s="41" t="s">
        <v>330</v>
      </c>
      <c r="C49" s="279" t="s">
        <v>1390</v>
      </c>
      <c r="D49" s="42" t="s">
        <v>192</v>
      </c>
      <c r="E49" s="43" t="s">
        <v>298</v>
      </c>
      <c r="F49" s="190">
        <v>1</v>
      </c>
      <c r="G49" s="167" t="s">
        <v>1391</v>
      </c>
      <c r="H49" s="44"/>
      <c r="I49" s="191"/>
      <c r="K49" s="190">
        <f>+[2]PLG!F49</f>
        <v>1</v>
      </c>
      <c r="N49" s="61">
        <v>1</v>
      </c>
      <c r="O49" s="61">
        <v>0.2</v>
      </c>
    </row>
    <row r="50" spans="1:15" ht="38.25" hidden="1" customHeight="1" outlineLevel="1" x14ac:dyDescent="0.25">
      <c r="A50" s="8">
        <f>+A49+1</f>
        <v>84</v>
      </c>
      <c r="B50" s="41" t="s">
        <v>331</v>
      </c>
      <c r="C50" s="292" t="str">
        <f>+C51</f>
        <v>CARGA DE PEDIDOS</v>
      </c>
      <c r="D50" s="42" t="s">
        <v>188</v>
      </c>
      <c r="E50" s="43" t="s">
        <v>1395</v>
      </c>
      <c r="F50" s="190">
        <v>1</v>
      </c>
      <c r="G50" s="399" t="s">
        <v>1398</v>
      </c>
      <c r="H50" s="44"/>
      <c r="I50" s="191"/>
      <c r="K50" s="190">
        <f>+[2]PLG!F50</f>
        <v>1</v>
      </c>
      <c r="N50" s="61">
        <v>0.35</v>
      </c>
      <c r="O50" s="61">
        <v>0.5</v>
      </c>
    </row>
    <row r="51" spans="1:15" ht="38.25" hidden="1" customHeight="1" outlineLevel="1" x14ac:dyDescent="0.25">
      <c r="A51" s="8">
        <f t="shared" ref="A51:A52" si="6">A50+1</f>
        <v>85</v>
      </c>
      <c r="B51" s="41" t="s">
        <v>331</v>
      </c>
      <c r="C51" s="291" t="s">
        <v>1392</v>
      </c>
      <c r="D51" s="42" t="s">
        <v>1393</v>
      </c>
      <c r="E51" s="43" t="s">
        <v>1396</v>
      </c>
      <c r="F51" s="190">
        <v>1</v>
      </c>
      <c r="G51" s="403"/>
      <c r="H51" s="44"/>
      <c r="I51" s="191"/>
      <c r="K51" s="190">
        <f>+[2]PLG!F51</f>
        <v>1</v>
      </c>
      <c r="N51" s="61">
        <v>0.5</v>
      </c>
      <c r="O51" s="61">
        <v>0.5</v>
      </c>
    </row>
    <row r="52" spans="1:15" ht="38.25" hidden="1" customHeight="1" outlineLevel="1" x14ac:dyDescent="0.25">
      <c r="A52" s="8">
        <f t="shared" si="6"/>
        <v>86</v>
      </c>
      <c r="B52" s="41" t="s">
        <v>331</v>
      </c>
      <c r="C52" s="296" t="str">
        <f>+C50</f>
        <v>CARGA DE PEDIDOS</v>
      </c>
      <c r="D52" s="42" t="s">
        <v>1394</v>
      </c>
      <c r="E52" s="43" t="s">
        <v>1397</v>
      </c>
      <c r="F52" s="190">
        <v>1</v>
      </c>
      <c r="G52" s="400"/>
      <c r="H52" s="44"/>
      <c r="I52" s="191"/>
      <c r="K52" s="190">
        <f>+[2]PLG!F52</f>
        <v>1</v>
      </c>
      <c r="N52" s="61">
        <v>0.15</v>
      </c>
      <c r="O52" s="61">
        <v>0.5</v>
      </c>
    </row>
    <row r="53" spans="1:15" ht="38.25" hidden="1" customHeight="1" outlineLevel="1" x14ac:dyDescent="0.25">
      <c r="A53" s="8">
        <f>+A52+1</f>
        <v>87</v>
      </c>
      <c r="B53" s="41" t="s">
        <v>1399</v>
      </c>
      <c r="C53" s="291" t="s">
        <v>1400</v>
      </c>
      <c r="D53" s="42" t="s">
        <v>1401</v>
      </c>
      <c r="E53" s="43" t="s">
        <v>301</v>
      </c>
      <c r="F53" s="190">
        <v>0</v>
      </c>
      <c r="G53" s="402" t="s">
        <v>1403</v>
      </c>
      <c r="H53" s="44"/>
      <c r="I53" s="191" t="s">
        <v>1773</v>
      </c>
      <c r="K53" s="190">
        <f>+[2]PLG!F53</f>
        <v>0</v>
      </c>
      <c r="N53" s="61">
        <v>0.5</v>
      </c>
      <c r="O53" s="61">
        <v>0.3</v>
      </c>
    </row>
    <row r="54" spans="1:15" ht="38.25" hidden="1" customHeight="1" outlineLevel="1" x14ac:dyDescent="0.25">
      <c r="A54" s="8">
        <f t="shared" ref="A54" si="7">A53+1</f>
        <v>88</v>
      </c>
      <c r="B54" s="41" t="s">
        <v>1399</v>
      </c>
      <c r="C54" s="296" t="str">
        <f>+C53</f>
        <v>ENTREGA AL CLIENTE</v>
      </c>
      <c r="D54" s="42" t="s">
        <v>1402</v>
      </c>
      <c r="E54" s="43" t="s">
        <v>302</v>
      </c>
      <c r="F54" s="190">
        <v>1</v>
      </c>
      <c r="G54" s="400"/>
      <c r="H54" s="44"/>
      <c r="I54" s="191" t="s">
        <v>1779</v>
      </c>
      <c r="K54" s="190">
        <f>+[2]PLG!F54</f>
        <v>1</v>
      </c>
      <c r="N54" s="61">
        <v>0.5</v>
      </c>
      <c r="O54" s="61">
        <v>0.3</v>
      </c>
    </row>
    <row r="55" spans="1:15" collapsed="1" x14ac:dyDescent="0.25"/>
    <row r="56" spans="1:15" ht="36.75" customHeight="1" x14ac:dyDescent="0.25">
      <c r="B56" s="283">
        <v>11</v>
      </c>
      <c r="C56" s="289" t="s">
        <v>1335</v>
      </c>
      <c r="D56" s="284"/>
      <c r="E56" s="285"/>
      <c r="F56" s="286">
        <f>SUMPRODUCT(F57:F60,N57:N60,O57:O60)</f>
        <v>1</v>
      </c>
      <c r="G56" s="287"/>
      <c r="H56" s="287"/>
      <c r="I56" s="288"/>
      <c r="K56" s="286">
        <f>SUMPRODUCT(K57:K60,N57:N60,O57:O60)</f>
        <v>1</v>
      </c>
      <c r="N56" s="60">
        <f>+[1]MATRIZ!$G$18</f>
        <v>0.1</v>
      </c>
      <c r="O56" s="278">
        <f>+N56*F56</f>
        <v>0.1</v>
      </c>
    </row>
    <row r="57" spans="1:15" ht="15.75" hidden="1" customHeight="1" outlineLevel="1" x14ac:dyDescent="0.25">
      <c r="A57" s="8">
        <f>+A54+1</f>
        <v>89</v>
      </c>
      <c r="B57" s="41" t="s">
        <v>332</v>
      </c>
      <c r="C57" s="159" t="s">
        <v>1404</v>
      </c>
      <c r="D57" s="42" t="s">
        <v>190</v>
      </c>
      <c r="E57" s="43" t="s">
        <v>1405</v>
      </c>
      <c r="F57" s="190">
        <v>1</v>
      </c>
      <c r="G57" s="355" t="s">
        <v>1410</v>
      </c>
      <c r="H57" s="44"/>
      <c r="I57" s="191"/>
      <c r="K57" s="190">
        <f>+[2]PLG!F57</f>
        <v>1</v>
      </c>
      <c r="N57" s="61">
        <v>0.3</v>
      </c>
      <c r="O57" s="61">
        <v>1</v>
      </c>
    </row>
    <row r="58" spans="1:15" hidden="1" outlineLevel="1" x14ac:dyDescent="0.25">
      <c r="A58" s="8">
        <f>+A57+1</f>
        <v>90</v>
      </c>
      <c r="B58" s="41" t="s">
        <v>332</v>
      </c>
      <c r="C58" s="160" t="s">
        <v>1404</v>
      </c>
      <c r="D58" s="42" t="s">
        <v>191</v>
      </c>
      <c r="E58" s="43" t="s">
        <v>1406</v>
      </c>
      <c r="F58" s="190">
        <v>1</v>
      </c>
      <c r="G58" s="356"/>
      <c r="H58" s="44"/>
      <c r="I58" s="191"/>
      <c r="K58" s="190">
        <f>+[2]PLG!F58</f>
        <v>1</v>
      </c>
      <c r="N58" s="61">
        <v>0.3</v>
      </c>
      <c r="O58" s="61">
        <v>1</v>
      </c>
    </row>
    <row r="59" spans="1:15" hidden="1" outlineLevel="1" x14ac:dyDescent="0.25">
      <c r="A59" s="8">
        <f t="shared" ref="A59:A60" si="8">+A58+1</f>
        <v>91</v>
      </c>
      <c r="B59" s="41" t="s">
        <v>332</v>
      </c>
      <c r="C59" s="159" t="s">
        <v>1404</v>
      </c>
      <c r="D59" s="42" t="s">
        <v>1408</v>
      </c>
      <c r="E59" s="43" t="s">
        <v>1407</v>
      </c>
      <c r="F59" s="190">
        <v>1</v>
      </c>
      <c r="G59" s="356"/>
      <c r="H59" s="44"/>
      <c r="I59" s="191"/>
      <c r="K59" s="190">
        <f>+[2]PLG!F59</f>
        <v>1</v>
      </c>
      <c r="N59" s="61">
        <v>0.25</v>
      </c>
      <c r="O59" s="61">
        <v>1</v>
      </c>
    </row>
    <row r="60" spans="1:15" hidden="1" outlineLevel="1" x14ac:dyDescent="0.25">
      <c r="A60" s="8">
        <f t="shared" si="8"/>
        <v>92</v>
      </c>
      <c r="B60" s="41" t="s">
        <v>332</v>
      </c>
      <c r="C60" s="281" t="s">
        <v>1404</v>
      </c>
      <c r="D60" s="42" t="s">
        <v>1409</v>
      </c>
      <c r="E60" s="43" t="s">
        <v>85</v>
      </c>
      <c r="F60" s="190">
        <v>1</v>
      </c>
      <c r="G60" s="357"/>
      <c r="H60" s="44"/>
      <c r="I60" s="191"/>
      <c r="K60" s="190">
        <f>+[2]PLG!F60</f>
        <v>1</v>
      </c>
      <c r="N60" s="61">
        <v>0.15</v>
      </c>
      <c r="O60" s="61">
        <v>1</v>
      </c>
    </row>
    <row r="61" spans="1:15" collapsed="1" x14ac:dyDescent="0.25"/>
  </sheetData>
  <sheetProtection autoFilter="0"/>
  <protectedRanges>
    <protectedRange sqref="F9:F16 F19:F26 F29:F34 F37:F46 F49:F54 F57:F60 K9:K16 K19:K26 K29:K34 K37:K46 K49:K54 K57:K60" name="Rango1"/>
  </protectedRanges>
  <autoFilter ref="A7:I10" xr:uid="{00000000-0009-0000-0000-000004000000}"/>
  <mergeCells count="15">
    <mergeCell ref="N5:O5"/>
    <mergeCell ref="G9:G10"/>
    <mergeCell ref="G12:G15"/>
    <mergeCell ref="G19:G20"/>
    <mergeCell ref="G50:G52"/>
    <mergeCell ref="G53:G54"/>
    <mergeCell ref="G57:G60"/>
    <mergeCell ref="G21:G23"/>
    <mergeCell ref="G24:G26"/>
    <mergeCell ref="G32:G34"/>
    <mergeCell ref="G37:G38"/>
    <mergeCell ref="G29:G31"/>
    <mergeCell ref="G39:G40"/>
    <mergeCell ref="G41:G43"/>
    <mergeCell ref="G44:G46"/>
  </mergeCells>
  <conditionalFormatting sqref="A1:A1048576">
    <cfRule type="duplicateValues" dxfId="311" priority="185"/>
  </conditionalFormatting>
  <conditionalFormatting sqref="F9:F16 K9:K16">
    <cfRule type="containsText" dxfId="310" priority="95" operator="containsText" text="0">
      <formula>NOT(ISERROR(SEARCH("0",F9)))</formula>
    </cfRule>
    <cfRule type="containsText" dxfId="309" priority="96" operator="containsText" text="1">
      <formula>NOT(ISERROR(SEARCH("1",F9)))</formula>
    </cfRule>
  </conditionalFormatting>
  <conditionalFormatting sqref="F9:F16">
    <cfRule type="containsText" dxfId="308" priority="93" operator="containsText" text="NA - 0">
      <formula>NOT(ISERROR(SEARCH("NA - 0",F9)))</formula>
    </cfRule>
    <cfRule type="containsText" dxfId="307" priority="94" operator="containsText" text="N/A">
      <formula>NOT(ISERROR(SEARCH("N/A",F9)))</formula>
    </cfRule>
    <cfRule type="containsText" dxfId="306" priority="92" operator="containsText" text="NA - 1">
      <formula>NOT(ISERROR(SEARCH("NA - 1",F9)))</formula>
    </cfRule>
  </conditionalFormatting>
  <conditionalFormatting sqref="F19:F26">
    <cfRule type="containsText" dxfId="305" priority="179" operator="containsText" text="1">
      <formula>NOT(ISERROR(SEARCH("1",F19)))</formula>
    </cfRule>
    <cfRule type="containsText" dxfId="304" priority="178" operator="containsText" text="0">
      <formula>NOT(ISERROR(SEARCH("0",F19)))</formula>
    </cfRule>
    <cfRule type="containsText" dxfId="303" priority="177" operator="containsText" text="N/A">
      <formula>NOT(ISERROR(SEARCH("N/A",F19)))</formula>
    </cfRule>
    <cfRule type="containsText" dxfId="302" priority="176" operator="containsText" text="NA - 0">
      <formula>NOT(ISERROR(SEARCH("NA - 0",F19)))</formula>
    </cfRule>
    <cfRule type="containsText" dxfId="301" priority="175" operator="containsText" text="NA - 1">
      <formula>NOT(ISERROR(SEARCH("NA - 1",F19)))</formula>
    </cfRule>
  </conditionalFormatting>
  <conditionalFormatting sqref="F29:F34">
    <cfRule type="containsText" dxfId="300" priority="153" operator="containsText" text="0">
      <formula>NOT(ISERROR(SEARCH("0",F29)))</formula>
    </cfRule>
    <cfRule type="containsText" dxfId="299" priority="152" operator="containsText" text="N/A">
      <formula>NOT(ISERROR(SEARCH("N/A",F29)))</formula>
    </cfRule>
    <cfRule type="containsText" dxfId="298" priority="151" operator="containsText" text="NA - 0">
      <formula>NOT(ISERROR(SEARCH("NA - 0",F29)))</formula>
    </cfRule>
    <cfRule type="containsText" dxfId="297" priority="150" operator="containsText" text="NA - 1">
      <formula>NOT(ISERROR(SEARCH("NA - 1",F29)))</formula>
    </cfRule>
    <cfRule type="containsText" dxfId="296" priority="154" operator="containsText" text="1">
      <formula>NOT(ISERROR(SEARCH("1",F29)))</formula>
    </cfRule>
  </conditionalFormatting>
  <conditionalFormatting sqref="F37:F46">
    <cfRule type="containsText" dxfId="295" priority="55" operator="containsText" text="NA - 0">
      <formula>NOT(ISERROR(SEARCH("NA - 0",F37)))</formula>
    </cfRule>
    <cfRule type="containsText" dxfId="294" priority="58" operator="containsText" text="1">
      <formula>NOT(ISERROR(SEARCH("1",F37)))</formula>
    </cfRule>
    <cfRule type="containsText" dxfId="293" priority="57" operator="containsText" text="0">
      <formula>NOT(ISERROR(SEARCH("0",F37)))</formula>
    </cfRule>
    <cfRule type="containsText" dxfId="292" priority="56" operator="containsText" text="N/A">
      <formula>NOT(ISERROR(SEARCH("N/A",F37)))</formula>
    </cfRule>
    <cfRule type="containsText" dxfId="291" priority="54" operator="containsText" text="NA - 1">
      <formula>NOT(ISERROR(SEARCH("NA - 1",F37)))</formula>
    </cfRule>
  </conditionalFormatting>
  <conditionalFormatting sqref="F49:F54">
    <cfRule type="containsText" dxfId="290" priority="41" operator="containsText" text="1">
      <formula>NOT(ISERROR(SEARCH("1",F49)))</formula>
    </cfRule>
    <cfRule type="containsText" dxfId="289" priority="40" operator="containsText" text="0">
      <formula>NOT(ISERROR(SEARCH("0",F49)))</formula>
    </cfRule>
    <cfRule type="containsText" dxfId="288" priority="39" operator="containsText" text="N/A">
      <formula>NOT(ISERROR(SEARCH("N/A",F49)))</formula>
    </cfRule>
    <cfRule type="containsText" dxfId="287" priority="38" operator="containsText" text="NA - 0">
      <formula>NOT(ISERROR(SEARCH("NA - 0",F49)))</formula>
    </cfRule>
    <cfRule type="containsText" dxfId="286" priority="37" operator="containsText" text="NA - 1">
      <formula>NOT(ISERROR(SEARCH("NA - 1",F49)))</formula>
    </cfRule>
  </conditionalFormatting>
  <conditionalFormatting sqref="F57:F60">
    <cfRule type="containsText" dxfId="285" priority="126" operator="containsText" text="NA - 0">
      <formula>NOT(ISERROR(SEARCH("NA - 0",F57)))</formula>
    </cfRule>
    <cfRule type="containsText" dxfId="284" priority="127" operator="containsText" text="N/A">
      <formula>NOT(ISERROR(SEARCH("N/A",F57)))</formula>
    </cfRule>
    <cfRule type="containsText" dxfId="283" priority="128" operator="containsText" text="0">
      <formula>NOT(ISERROR(SEARCH("0",F57)))</formula>
    </cfRule>
    <cfRule type="containsText" dxfId="282" priority="129" operator="containsText" text="1">
      <formula>NOT(ISERROR(SEARCH("1",F57)))</formula>
    </cfRule>
    <cfRule type="containsText" dxfId="281" priority="125" operator="containsText" text="NA - 1">
      <formula>NOT(ISERROR(SEARCH("NA - 1",F57)))</formula>
    </cfRule>
  </conditionalFormatting>
  <conditionalFormatting sqref="K19:K26">
    <cfRule type="containsText" dxfId="280" priority="10" operator="containsText" text="1">
      <formula>NOT(ISERROR(SEARCH("1",K19)))</formula>
    </cfRule>
    <cfRule type="containsText" dxfId="279" priority="9" operator="containsText" text="0">
      <formula>NOT(ISERROR(SEARCH("0",K19)))</formula>
    </cfRule>
  </conditionalFormatting>
  <conditionalFormatting sqref="K29:K34">
    <cfRule type="containsText" dxfId="278" priority="8" operator="containsText" text="1">
      <formula>NOT(ISERROR(SEARCH("1",K29)))</formula>
    </cfRule>
    <cfRule type="containsText" dxfId="277" priority="7" operator="containsText" text="0">
      <formula>NOT(ISERROR(SEARCH("0",K29)))</formula>
    </cfRule>
  </conditionalFormatting>
  <conditionalFormatting sqref="K37:K46">
    <cfRule type="containsText" dxfId="276" priority="5" operator="containsText" text="0">
      <formula>NOT(ISERROR(SEARCH("0",K37)))</formula>
    </cfRule>
    <cfRule type="containsText" dxfId="275" priority="6" operator="containsText" text="1">
      <formula>NOT(ISERROR(SEARCH("1",K37)))</formula>
    </cfRule>
  </conditionalFormatting>
  <conditionalFormatting sqref="K49:K54">
    <cfRule type="containsText" dxfId="274" priority="3" operator="containsText" text="0">
      <formula>NOT(ISERROR(SEARCH("0",K49)))</formula>
    </cfRule>
    <cfRule type="containsText" dxfId="273" priority="4" operator="containsText" text="1">
      <formula>NOT(ISERROR(SEARCH("1",K49)))</formula>
    </cfRule>
  </conditionalFormatting>
  <conditionalFormatting sqref="K57:K60">
    <cfRule type="containsText" dxfId="272" priority="2" operator="containsText" text="1">
      <formula>NOT(ISERROR(SEARCH("1",K57)))</formula>
    </cfRule>
    <cfRule type="containsText" dxfId="271" priority="1" operator="containsText" text="0">
      <formula>NOT(ISERROR(SEARCH("0",K57)))</formula>
    </cfRule>
  </conditionalFormatting>
  <dataValidations count="2">
    <dataValidation type="list" showErrorMessage="1" sqref="K19:K26 K29:K34 K49:K54 K9:K16 K37:K46 K57:K60" xr:uid="{E592385C-8A07-4815-979A-94056CC4AD54}">
      <formula1>$Z$1:$Z$3</formula1>
    </dataValidation>
    <dataValidation type="list" showErrorMessage="1" sqref="F9:F16 F19:F26 F29:F34 F37:F46 F57:F60 F49:F54" xr:uid="{00B9E036-03D2-48A8-B789-6202B3AFBF30}">
      <formula1>$Z$1:$Z$5</formula1>
    </dataValidation>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A5278-08FC-4867-A7CC-99CCFA2CA86B}">
  <sheetPr>
    <tabColor rgb="FFFFFF00"/>
  </sheetPr>
  <dimension ref="A1:Z63"/>
  <sheetViews>
    <sheetView showGridLines="0" zoomScale="70" zoomScaleNormal="70" workbookViewId="0">
      <pane xSplit="2" ySplit="6" topLeftCell="D53" activePane="bottomRight" state="frozen"/>
      <selection activeCell="E30" sqref="E30"/>
      <selection pane="topRight" activeCell="E30" sqref="E30"/>
      <selection pane="bottomLeft" activeCell="E30" sqref="E30"/>
      <selection pane="bottomRight" activeCell="I64" sqref="I64"/>
    </sheetView>
  </sheetViews>
  <sheetFormatPr baseColWidth="10" defaultColWidth="11" defaultRowHeight="15.75" outlineLevelRow="1" outlineLevelCol="1" x14ac:dyDescent="0.25"/>
  <cols>
    <col min="1" max="1" width="4.375" style="8" bestFit="1" customWidth="1"/>
    <col min="2" max="2" width="8.125" style="19" customWidth="1"/>
    <col min="3" max="3" width="31.625" style="1" bestFit="1" customWidth="1"/>
    <col min="4" max="4" width="8.625" style="9" customWidth="1"/>
    <col min="5" max="5" width="79.125" customWidth="1"/>
    <col min="6" max="6" width="14.75" style="1" customWidth="1"/>
    <col min="7" max="7" width="23" style="1" customWidth="1"/>
    <col min="8" max="8" width="9.125" style="1" bestFit="1" customWidth="1"/>
    <col min="9" max="9" width="32.5" style="1" customWidth="1"/>
    <col min="10" max="10" width="3.375" customWidth="1"/>
    <col min="11" max="11" width="8.875" style="1" customWidth="1"/>
    <col min="12" max="12" width="10.625" style="1" customWidth="1"/>
    <col min="13" max="13" width="3.875" customWidth="1"/>
    <col min="14" max="14" width="21.5" customWidth="1" outlineLevel="1"/>
    <col min="15" max="15" width="18.125" style="1" customWidth="1" outlineLevel="1"/>
  </cols>
  <sheetData>
    <row r="1" spans="1:26" hidden="1" x14ac:dyDescent="0.25">
      <c r="F1" s="153"/>
      <c r="Z1">
        <v>0</v>
      </c>
    </row>
    <row r="2" spans="1:26" ht="36" customHeight="1" x14ac:dyDescent="0.25">
      <c r="F2" s="50" t="s">
        <v>853</v>
      </c>
      <c r="G2" s="240"/>
      <c r="J2" s="1"/>
      <c r="K2" s="50" t="s">
        <v>854</v>
      </c>
      <c r="Z2">
        <v>1</v>
      </c>
    </row>
    <row r="3" spans="1:26" ht="21.75" customHeight="1" x14ac:dyDescent="0.5">
      <c r="B3" s="39"/>
      <c r="D3" s="39"/>
      <c r="E3" s="49" t="str">
        <f>+B5</f>
        <v>Area de interés : Gestión</v>
      </c>
      <c r="F3" s="52">
        <f>+O8+O31+O42+O48+O52</f>
        <v>0.95799999999999985</v>
      </c>
      <c r="G3" s="241"/>
      <c r="K3" s="52">
        <f>+K8*N8+K31*N31+K42*N42+K48*N48+K52*N52</f>
        <v>0.92249999999999988</v>
      </c>
      <c r="N3" s="280" t="s">
        <v>1256</v>
      </c>
      <c r="O3" s="54">
        <v>0.2</v>
      </c>
      <c r="Z3" t="s">
        <v>142</v>
      </c>
    </row>
    <row r="4" spans="1:26" ht="21.75" customHeight="1" x14ac:dyDescent="0.7">
      <c r="B4" s="40"/>
      <c r="E4" s="49" t="s">
        <v>860</v>
      </c>
      <c r="F4" s="52">
        <f>+F3*O3</f>
        <v>0.19159999999999999</v>
      </c>
      <c r="G4" s="335">
        <f>+IFT!F4+PLG!F4+GST!F4+IDP!F4</f>
        <v>0.95677083327449997</v>
      </c>
      <c r="K4" s="52">
        <f>+K3*O3</f>
        <v>0.1845</v>
      </c>
      <c r="L4" s="335">
        <f>+IFT!K4+PLG!K4+GST!K4+IDP!K4</f>
        <v>0.95931499994699998</v>
      </c>
      <c r="Z4" t="s">
        <v>1229</v>
      </c>
    </row>
    <row r="5" spans="1:26" ht="36" x14ac:dyDescent="0.55000000000000004">
      <c r="B5" s="67" t="s">
        <v>1502</v>
      </c>
      <c r="E5" s="76"/>
      <c r="N5" s="359" t="s">
        <v>1255</v>
      </c>
      <c r="O5" s="360"/>
      <c r="Z5" t="s">
        <v>1230</v>
      </c>
    </row>
    <row r="6" spans="1:26" ht="18.75" x14ac:dyDescent="0.25">
      <c r="B6" s="49" t="s">
        <v>4</v>
      </c>
      <c r="C6" s="49" t="s">
        <v>153</v>
      </c>
      <c r="D6" s="49"/>
      <c r="E6" s="49" t="s">
        <v>118</v>
      </c>
      <c r="F6" s="50" t="s">
        <v>853</v>
      </c>
      <c r="G6" s="49" t="s">
        <v>1242</v>
      </c>
      <c r="H6" s="49" t="s">
        <v>1725</v>
      </c>
      <c r="I6" s="49" t="s">
        <v>514</v>
      </c>
      <c r="K6" s="50" t="s">
        <v>854</v>
      </c>
      <c r="N6" s="276" t="s">
        <v>1257</v>
      </c>
      <c r="O6" s="277" t="s">
        <v>1258</v>
      </c>
    </row>
    <row r="7" spans="1:26" ht="6" customHeight="1" x14ac:dyDescent="0.25"/>
    <row r="8" spans="1:26" ht="36.75" customHeight="1" x14ac:dyDescent="0.25">
      <c r="B8" s="283">
        <v>12</v>
      </c>
      <c r="C8" s="289" t="s">
        <v>1411</v>
      </c>
      <c r="D8" s="284"/>
      <c r="E8" s="285"/>
      <c r="F8" s="286">
        <f>SUMPRODUCT(F9:F29,N9:N29,O9:O29)</f>
        <v>0.99999999999999967</v>
      </c>
      <c r="G8" s="287"/>
      <c r="H8" s="287"/>
      <c r="I8" s="288"/>
      <c r="K8" s="286">
        <f>SUMPRODUCT(K9:K29,N9:N29,O9:O29)</f>
        <v>0.84999999999999976</v>
      </c>
      <c r="N8" s="60">
        <f>+[1]MATRIZ!$G$19</f>
        <v>0.25</v>
      </c>
      <c r="O8" s="278">
        <f>+N8*F8</f>
        <v>0.24999999999999992</v>
      </c>
    </row>
    <row r="9" spans="1:26" ht="15.75" customHeight="1" outlineLevel="1" x14ac:dyDescent="0.25">
      <c r="A9" s="8">
        <f>+PLG!A60+1</f>
        <v>93</v>
      </c>
      <c r="B9" s="41" t="s">
        <v>362</v>
      </c>
      <c r="C9" s="292" t="s">
        <v>1412</v>
      </c>
      <c r="D9" s="42" t="s">
        <v>180</v>
      </c>
      <c r="E9" s="282" t="s">
        <v>1413</v>
      </c>
      <c r="F9" s="190" t="s">
        <v>142</v>
      </c>
      <c r="G9" s="355" t="s">
        <v>1421</v>
      </c>
      <c r="H9" s="44"/>
      <c r="I9" s="191"/>
      <c r="K9" s="190" t="str">
        <f>+[2]GST!F9</f>
        <v>N/A</v>
      </c>
      <c r="N9" s="61">
        <v>0.2</v>
      </c>
      <c r="O9" s="61">
        <v>0</v>
      </c>
    </row>
    <row r="10" spans="1:26" ht="31.5" outlineLevel="1" x14ac:dyDescent="0.25">
      <c r="A10" s="8">
        <f t="shared" ref="A10:A15" si="0">A9+1</f>
        <v>94</v>
      </c>
      <c r="B10" s="41" t="s">
        <v>362</v>
      </c>
      <c r="C10" s="292" t="s">
        <v>1412</v>
      </c>
      <c r="D10" s="42" t="s">
        <v>830</v>
      </c>
      <c r="E10" s="282" t="s">
        <v>1414</v>
      </c>
      <c r="F10" s="190" t="s">
        <v>142</v>
      </c>
      <c r="G10" s="356"/>
      <c r="H10" s="44"/>
      <c r="I10" s="191"/>
      <c r="K10" s="190" t="str">
        <f>+[2]GST!F10</f>
        <v>N/A</v>
      </c>
      <c r="N10" s="61">
        <v>0.2</v>
      </c>
      <c r="O10" s="61">
        <v>0</v>
      </c>
    </row>
    <row r="11" spans="1:26" outlineLevel="1" x14ac:dyDescent="0.25">
      <c r="A11" s="8">
        <f t="shared" si="0"/>
        <v>95</v>
      </c>
      <c r="B11" s="41" t="s">
        <v>362</v>
      </c>
      <c r="C11" s="160" t="s">
        <v>1412</v>
      </c>
      <c r="D11" s="42" t="s">
        <v>709</v>
      </c>
      <c r="E11" s="282" t="s">
        <v>1415</v>
      </c>
      <c r="F11" s="190" t="s">
        <v>142</v>
      </c>
      <c r="G11" s="356"/>
      <c r="H11" s="44"/>
      <c r="I11" s="191"/>
      <c r="K11" s="190" t="str">
        <f>+[2]GST!F11</f>
        <v>N/A</v>
      </c>
      <c r="N11" s="61">
        <v>0.1</v>
      </c>
      <c r="O11" s="61">
        <v>0</v>
      </c>
    </row>
    <row r="12" spans="1:26" outlineLevel="1" x14ac:dyDescent="0.25">
      <c r="A12" s="8">
        <f t="shared" si="0"/>
        <v>96</v>
      </c>
      <c r="B12" s="41" t="s">
        <v>362</v>
      </c>
      <c r="C12" s="292" t="s">
        <v>1412</v>
      </c>
      <c r="D12" s="42" t="s">
        <v>831</v>
      </c>
      <c r="E12" s="282" t="s">
        <v>1416</v>
      </c>
      <c r="F12" s="190" t="s">
        <v>142</v>
      </c>
      <c r="G12" s="356"/>
      <c r="H12" s="44"/>
      <c r="I12" s="191"/>
      <c r="K12" s="190" t="str">
        <f>+[2]GST!F12</f>
        <v>N/A</v>
      </c>
      <c r="N12" s="61">
        <v>0.1</v>
      </c>
      <c r="O12" s="61">
        <v>0</v>
      </c>
    </row>
    <row r="13" spans="1:26" outlineLevel="1" x14ac:dyDescent="0.25">
      <c r="A13" s="8">
        <f t="shared" si="0"/>
        <v>97</v>
      </c>
      <c r="B13" s="41" t="s">
        <v>362</v>
      </c>
      <c r="C13" s="292" t="s">
        <v>1412</v>
      </c>
      <c r="D13" s="42" t="s">
        <v>710</v>
      </c>
      <c r="E13" s="282" t="s">
        <v>1417</v>
      </c>
      <c r="F13" s="190" t="s">
        <v>142</v>
      </c>
      <c r="G13" s="356"/>
      <c r="H13" s="44"/>
      <c r="I13" s="191"/>
      <c r="K13" s="190" t="str">
        <f>+[2]GST!F13</f>
        <v>N/A</v>
      </c>
      <c r="N13" s="61">
        <v>0.2</v>
      </c>
      <c r="O13" s="61">
        <v>0</v>
      </c>
    </row>
    <row r="14" spans="1:26" outlineLevel="1" x14ac:dyDescent="0.25">
      <c r="A14" s="8">
        <f t="shared" si="0"/>
        <v>98</v>
      </c>
      <c r="B14" s="41" t="s">
        <v>362</v>
      </c>
      <c r="C14" s="292" t="s">
        <v>1412</v>
      </c>
      <c r="D14" s="42" t="s">
        <v>711</v>
      </c>
      <c r="E14" s="282" t="s">
        <v>1418</v>
      </c>
      <c r="F14" s="190" t="s">
        <v>142</v>
      </c>
      <c r="G14" s="356"/>
      <c r="H14" s="44"/>
      <c r="I14" s="191"/>
      <c r="K14" s="190" t="str">
        <f>+[2]GST!F14</f>
        <v>N/A</v>
      </c>
      <c r="N14" s="61">
        <v>0.1</v>
      </c>
      <c r="O14" s="61">
        <v>0</v>
      </c>
    </row>
    <row r="15" spans="1:26" outlineLevel="1" x14ac:dyDescent="0.25">
      <c r="A15" s="8">
        <f t="shared" si="0"/>
        <v>99</v>
      </c>
      <c r="B15" s="41" t="s">
        <v>362</v>
      </c>
      <c r="C15" s="294" t="s">
        <v>1412</v>
      </c>
      <c r="D15" s="42" t="s">
        <v>1420</v>
      </c>
      <c r="E15" s="282" t="s">
        <v>1419</v>
      </c>
      <c r="F15" s="190" t="s">
        <v>142</v>
      </c>
      <c r="G15" s="401"/>
      <c r="H15" s="44"/>
      <c r="I15" s="191"/>
      <c r="K15" s="190" t="str">
        <f>+[2]GST!F15</f>
        <v>N/A</v>
      </c>
      <c r="N15" s="61">
        <v>0.1</v>
      </c>
      <c r="O15" s="61">
        <v>0</v>
      </c>
    </row>
    <row r="16" spans="1:26" ht="15.75" customHeight="1" outlineLevel="1" x14ac:dyDescent="0.25">
      <c r="A16" s="8">
        <f>+A15+1</f>
        <v>100</v>
      </c>
      <c r="B16" s="41" t="s">
        <v>1423</v>
      </c>
      <c r="C16" s="159" t="s">
        <v>1422</v>
      </c>
      <c r="D16" s="42" t="s">
        <v>1745</v>
      </c>
      <c r="E16" s="43" t="s">
        <v>1424</v>
      </c>
      <c r="F16" s="190">
        <v>1</v>
      </c>
      <c r="G16" s="355" t="s">
        <v>1425</v>
      </c>
      <c r="H16" s="44"/>
      <c r="I16" s="191" t="s">
        <v>1764</v>
      </c>
      <c r="K16" s="190">
        <f>+[2]GST!F16</f>
        <v>0</v>
      </c>
      <c r="N16" s="61">
        <v>0.3</v>
      </c>
      <c r="O16" s="61">
        <v>0.3</v>
      </c>
    </row>
    <row r="17" spans="1:15" outlineLevel="1" x14ac:dyDescent="0.25">
      <c r="A17" s="8">
        <f>+A16+1</f>
        <v>101</v>
      </c>
      <c r="B17" s="41" t="s">
        <v>1423</v>
      </c>
      <c r="C17" s="160" t="s">
        <v>1422</v>
      </c>
      <c r="D17" s="42" t="s">
        <v>1746</v>
      </c>
      <c r="E17" s="43" t="s">
        <v>31</v>
      </c>
      <c r="F17" s="190">
        <v>1</v>
      </c>
      <c r="G17" s="356"/>
      <c r="H17" s="44"/>
      <c r="I17" s="191"/>
      <c r="K17" s="190">
        <f>+[2]GST!F17</f>
        <v>0</v>
      </c>
      <c r="N17" s="61">
        <v>0.2</v>
      </c>
      <c r="O17" s="61">
        <v>0.3</v>
      </c>
    </row>
    <row r="18" spans="1:15" outlineLevel="1" x14ac:dyDescent="0.25">
      <c r="A18" s="8">
        <f t="shared" ref="A18:A29" si="1">+A17+1</f>
        <v>102</v>
      </c>
      <c r="B18" s="41" t="s">
        <v>1423</v>
      </c>
      <c r="C18" s="159" t="s">
        <v>1422</v>
      </c>
      <c r="D18" s="42" t="s">
        <v>1747</v>
      </c>
      <c r="E18" s="43" t="s">
        <v>32</v>
      </c>
      <c r="F18" s="190">
        <v>1</v>
      </c>
      <c r="G18" s="356"/>
      <c r="H18" s="44"/>
      <c r="I18" s="191"/>
      <c r="K18" s="190">
        <f>+[2]GST!F18</f>
        <v>1</v>
      </c>
      <c r="N18" s="61">
        <v>0.15</v>
      </c>
      <c r="O18" s="61">
        <v>0.3</v>
      </c>
    </row>
    <row r="19" spans="1:15" outlineLevel="1" x14ac:dyDescent="0.25">
      <c r="A19" s="8">
        <f t="shared" si="1"/>
        <v>103</v>
      </c>
      <c r="B19" s="41" t="s">
        <v>1423</v>
      </c>
      <c r="C19" s="281" t="s">
        <v>1422</v>
      </c>
      <c r="D19" s="42" t="s">
        <v>1748</v>
      </c>
      <c r="E19" s="43" t="s">
        <v>33</v>
      </c>
      <c r="F19" s="190">
        <v>1</v>
      </c>
      <c r="G19" s="357"/>
      <c r="H19" s="44"/>
      <c r="I19" s="191"/>
      <c r="K19" s="190">
        <f>+[2]GST!F19</f>
        <v>1</v>
      </c>
      <c r="N19" s="61">
        <v>0.35</v>
      </c>
      <c r="O19" s="61">
        <v>0.3</v>
      </c>
    </row>
    <row r="20" spans="1:15" ht="15.75" customHeight="1" outlineLevel="1" x14ac:dyDescent="0.25">
      <c r="A20" s="8">
        <f t="shared" si="1"/>
        <v>104</v>
      </c>
      <c r="B20" s="41" t="s">
        <v>1426</v>
      </c>
      <c r="C20" s="292" t="s">
        <v>95</v>
      </c>
      <c r="D20" s="42" t="s">
        <v>1427</v>
      </c>
      <c r="E20" s="43" t="s">
        <v>86</v>
      </c>
      <c r="F20" s="190">
        <v>1</v>
      </c>
      <c r="G20" s="355" t="s">
        <v>1439</v>
      </c>
      <c r="H20" s="44" t="s">
        <v>1501</v>
      </c>
      <c r="I20" s="191" t="s">
        <v>1762</v>
      </c>
      <c r="K20" s="190">
        <f>+[2]GST!F20</f>
        <v>1</v>
      </c>
      <c r="N20" s="61">
        <v>0.1</v>
      </c>
      <c r="O20" s="61">
        <v>0.7</v>
      </c>
    </row>
    <row r="21" spans="1:15" outlineLevel="1" x14ac:dyDescent="0.25">
      <c r="A21" s="8">
        <f t="shared" si="1"/>
        <v>105</v>
      </c>
      <c r="B21" s="41" t="s">
        <v>1426</v>
      </c>
      <c r="C21" s="292" t="s">
        <v>95</v>
      </c>
      <c r="D21" s="42" t="s">
        <v>1428</v>
      </c>
      <c r="E21" s="43" t="s">
        <v>87</v>
      </c>
      <c r="F21" s="190">
        <v>1</v>
      </c>
      <c r="G21" s="356"/>
      <c r="H21" s="44" t="s">
        <v>1501</v>
      </c>
      <c r="I21" s="191"/>
      <c r="K21" s="190">
        <f>+[2]GST!F21</f>
        <v>1</v>
      </c>
      <c r="N21" s="61">
        <v>0.1</v>
      </c>
      <c r="O21" s="61">
        <v>0.7</v>
      </c>
    </row>
    <row r="22" spans="1:15" outlineLevel="1" x14ac:dyDescent="0.25">
      <c r="A22" s="8">
        <f t="shared" si="1"/>
        <v>106</v>
      </c>
      <c r="B22" s="41" t="s">
        <v>1426</v>
      </c>
      <c r="C22" s="292" t="s">
        <v>95</v>
      </c>
      <c r="D22" s="42" t="s">
        <v>1429</v>
      </c>
      <c r="E22" s="43" t="s">
        <v>88</v>
      </c>
      <c r="F22" s="190">
        <v>1</v>
      </c>
      <c r="G22" s="356"/>
      <c r="H22" s="44" t="s">
        <v>1501</v>
      </c>
      <c r="I22" s="191"/>
      <c r="K22" s="190">
        <f>+[2]GST!F22</f>
        <v>1</v>
      </c>
      <c r="N22" s="61">
        <v>0.1</v>
      </c>
      <c r="O22" s="61">
        <v>0.7</v>
      </c>
    </row>
    <row r="23" spans="1:15" outlineLevel="1" x14ac:dyDescent="0.25">
      <c r="A23" s="8">
        <f t="shared" si="1"/>
        <v>107</v>
      </c>
      <c r="B23" s="41" t="s">
        <v>1426</v>
      </c>
      <c r="C23" s="291" t="s">
        <v>95</v>
      </c>
      <c r="D23" s="42" t="s">
        <v>1430</v>
      </c>
      <c r="E23" s="43" t="s">
        <v>89</v>
      </c>
      <c r="F23" s="190">
        <v>1</v>
      </c>
      <c r="G23" s="356"/>
      <c r="H23" s="44" t="s">
        <v>1501</v>
      </c>
      <c r="I23" s="191"/>
      <c r="K23" s="190">
        <f>+[2]GST!F23</f>
        <v>1</v>
      </c>
      <c r="N23" s="61">
        <v>0.1</v>
      </c>
      <c r="O23" s="61">
        <v>0.7</v>
      </c>
    </row>
    <row r="24" spans="1:15" outlineLevel="1" x14ac:dyDescent="0.25">
      <c r="A24" s="8">
        <f t="shared" si="1"/>
        <v>108</v>
      </c>
      <c r="B24" s="41" t="s">
        <v>1426</v>
      </c>
      <c r="C24" s="292" t="s">
        <v>95</v>
      </c>
      <c r="D24" s="42" t="s">
        <v>1431</v>
      </c>
      <c r="E24" s="43" t="s">
        <v>90</v>
      </c>
      <c r="F24" s="190">
        <v>1</v>
      </c>
      <c r="G24" s="356"/>
      <c r="H24" s="44" t="s">
        <v>1501</v>
      </c>
      <c r="I24" s="191"/>
      <c r="K24" s="190">
        <f>+[2]GST!F24</f>
        <v>1</v>
      </c>
      <c r="N24" s="61">
        <v>0.1</v>
      </c>
      <c r="O24" s="61">
        <v>0.7</v>
      </c>
    </row>
    <row r="25" spans="1:15" outlineLevel="1" x14ac:dyDescent="0.25">
      <c r="A25" s="8">
        <f t="shared" si="1"/>
        <v>109</v>
      </c>
      <c r="B25" s="41" t="s">
        <v>1426</v>
      </c>
      <c r="C25" s="292" t="s">
        <v>95</v>
      </c>
      <c r="D25" s="42" t="s">
        <v>1432</v>
      </c>
      <c r="E25" s="43" t="s">
        <v>744</v>
      </c>
      <c r="F25" s="190">
        <v>1</v>
      </c>
      <c r="G25" s="356"/>
      <c r="H25" s="44" t="s">
        <v>1501</v>
      </c>
      <c r="I25" s="191"/>
      <c r="K25" s="190">
        <f>+[2]GST!F25</f>
        <v>1</v>
      </c>
      <c r="N25" s="61">
        <v>0.1</v>
      </c>
      <c r="O25" s="61">
        <v>0.7</v>
      </c>
    </row>
    <row r="26" spans="1:15" outlineLevel="1" x14ac:dyDescent="0.25">
      <c r="A26" s="8">
        <f t="shared" si="1"/>
        <v>110</v>
      </c>
      <c r="B26" s="41" t="s">
        <v>1426</v>
      </c>
      <c r="C26" s="292" t="s">
        <v>95</v>
      </c>
      <c r="D26" s="42" t="s">
        <v>1433</v>
      </c>
      <c r="E26" s="43" t="s">
        <v>91</v>
      </c>
      <c r="F26" s="190">
        <v>1</v>
      </c>
      <c r="G26" s="356"/>
      <c r="H26" s="44" t="s">
        <v>1501</v>
      </c>
      <c r="I26" s="191"/>
      <c r="K26" s="190">
        <f>+[2]GST!F26</f>
        <v>1</v>
      </c>
      <c r="N26" s="61">
        <v>0.1</v>
      </c>
      <c r="O26" s="61">
        <v>0.7</v>
      </c>
    </row>
    <row r="27" spans="1:15" outlineLevel="1" x14ac:dyDescent="0.25">
      <c r="A27" s="8">
        <f t="shared" si="1"/>
        <v>111</v>
      </c>
      <c r="B27" s="41" t="s">
        <v>1426</v>
      </c>
      <c r="C27" s="292" t="s">
        <v>95</v>
      </c>
      <c r="D27" s="42" t="s">
        <v>1434</v>
      </c>
      <c r="E27" s="43" t="s">
        <v>1437</v>
      </c>
      <c r="F27" s="190">
        <v>1</v>
      </c>
      <c r="G27" s="356"/>
      <c r="H27" s="44" t="s">
        <v>1501</v>
      </c>
      <c r="I27" s="191"/>
      <c r="K27" s="190">
        <f>+[2]GST!F27</f>
        <v>1</v>
      </c>
      <c r="N27" s="61">
        <v>0.1</v>
      </c>
      <c r="O27" s="61">
        <v>0.7</v>
      </c>
    </row>
    <row r="28" spans="1:15" outlineLevel="1" x14ac:dyDescent="0.25">
      <c r="A28" s="8">
        <f t="shared" si="1"/>
        <v>112</v>
      </c>
      <c r="B28" s="41" t="s">
        <v>1426</v>
      </c>
      <c r="C28" s="292" t="s">
        <v>95</v>
      </c>
      <c r="D28" s="42" t="s">
        <v>1435</v>
      </c>
      <c r="E28" s="43" t="s">
        <v>34</v>
      </c>
      <c r="F28" s="190">
        <v>1</v>
      </c>
      <c r="G28" s="356"/>
      <c r="H28" s="44" t="s">
        <v>1501</v>
      </c>
      <c r="I28" s="191"/>
      <c r="K28" s="190">
        <f>+[2]GST!F28</f>
        <v>1</v>
      </c>
      <c r="N28" s="61">
        <v>0.1</v>
      </c>
      <c r="O28" s="61">
        <v>0.7</v>
      </c>
    </row>
    <row r="29" spans="1:15" outlineLevel="1" x14ac:dyDescent="0.25">
      <c r="A29" s="8">
        <f t="shared" si="1"/>
        <v>113</v>
      </c>
      <c r="B29" s="41" t="s">
        <v>1426</v>
      </c>
      <c r="C29" s="294" t="s">
        <v>95</v>
      </c>
      <c r="D29" s="42" t="s">
        <v>1436</v>
      </c>
      <c r="E29" s="43" t="s">
        <v>1438</v>
      </c>
      <c r="F29" s="190">
        <v>1</v>
      </c>
      <c r="G29" s="401"/>
      <c r="H29" s="44" t="s">
        <v>1501</v>
      </c>
      <c r="I29" s="191"/>
      <c r="K29" s="190">
        <f>+[2]GST!F29</f>
        <v>1</v>
      </c>
      <c r="N29" s="61">
        <v>0.1</v>
      </c>
      <c r="O29" s="61">
        <v>0.7</v>
      </c>
    </row>
    <row r="31" spans="1:15" ht="36.75" customHeight="1" x14ac:dyDescent="0.25">
      <c r="B31" s="283">
        <v>13</v>
      </c>
      <c r="C31" s="289" t="s">
        <v>1440</v>
      </c>
      <c r="D31" s="284"/>
      <c r="E31" s="285"/>
      <c r="F31" s="286">
        <f>SUMPRODUCT(F32:F40,N32:N40,O32:O40)</f>
        <v>1</v>
      </c>
      <c r="G31" s="287"/>
      <c r="H31" s="287"/>
      <c r="I31" s="288"/>
      <c r="K31" s="286">
        <f>SUMPRODUCT(K32:K40,N32:N40,O32:O40)</f>
        <v>1</v>
      </c>
      <c r="N31" s="60">
        <f>+[1]MATRIZ!$G$20</f>
        <v>0.25</v>
      </c>
      <c r="O31" s="278">
        <f>+N31*F31</f>
        <v>0.25</v>
      </c>
    </row>
    <row r="32" spans="1:15" ht="15.75" customHeight="1" outlineLevel="1" x14ac:dyDescent="0.25">
      <c r="A32" s="8">
        <f>+A29+1</f>
        <v>114</v>
      </c>
      <c r="B32" s="41" t="s">
        <v>732</v>
      </c>
      <c r="C32" s="292" t="s">
        <v>1441</v>
      </c>
      <c r="D32" s="42" t="s">
        <v>720</v>
      </c>
      <c r="E32" s="43" t="s">
        <v>1442</v>
      </c>
      <c r="F32" s="190">
        <v>1</v>
      </c>
      <c r="G32" s="355" t="s">
        <v>1444</v>
      </c>
      <c r="H32" s="44"/>
      <c r="I32" s="191"/>
      <c r="K32" s="190">
        <f>+[2]GST!F32</f>
        <v>1</v>
      </c>
      <c r="N32" s="61">
        <v>0.4</v>
      </c>
      <c r="O32" s="61">
        <v>0.45</v>
      </c>
    </row>
    <row r="33" spans="1:15" ht="47.25" outlineLevel="1" x14ac:dyDescent="0.25">
      <c r="A33" s="8">
        <f t="shared" ref="A33:A36" si="2">A32+1</f>
        <v>115</v>
      </c>
      <c r="B33" s="41" t="s">
        <v>732</v>
      </c>
      <c r="C33" s="291" t="s">
        <v>1441</v>
      </c>
      <c r="D33" s="42" t="s">
        <v>722</v>
      </c>
      <c r="E33" s="43" t="s">
        <v>1443</v>
      </c>
      <c r="F33" s="190">
        <v>1</v>
      </c>
      <c r="G33" s="356"/>
      <c r="H33" s="44"/>
      <c r="I33" s="191" t="s">
        <v>1781</v>
      </c>
      <c r="K33" s="190">
        <f>+[2]GST!F33</f>
        <v>1</v>
      </c>
      <c r="N33" s="61">
        <v>0.3</v>
      </c>
      <c r="O33" s="61">
        <v>0.45</v>
      </c>
    </row>
    <row r="34" spans="1:15" outlineLevel="1" x14ac:dyDescent="0.25">
      <c r="A34" s="8">
        <f t="shared" si="2"/>
        <v>116</v>
      </c>
      <c r="B34" s="41" t="s">
        <v>732</v>
      </c>
      <c r="C34" s="296" t="s">
        <v>1441</v>
      </c>
      <c r="D34" s="42" t="s">
        <v>723</v>
      </c>
      <c r="E34" s="43" t="s">
        <v>176</v>
      </c>
      <c r="F34" s="190">
        <v>1</v>
      </c>
      <c r="G34" s="357"/>
      <c r="H34" s="44"/>
      <c r="I34" s="191"/>
      <c r="K34" s="190">
        <f>+[2]GST!F34</f>
        <v>1</v>
      </c>
      <c r="N34" s="61">
        <v>0.3</v>
      </c>
      <c r="O34" s="61">
        <v>0.45</v>
      </c>
    </row>
    <row r="35" spans="1:15" ht="15.75" customHeight="1" outlineLevel="1" x14ac:dyDescent="0.25">
      <c r="A35" s="8">
        <f t="shared" si="2"/>
        <v>117</v>
      </c>
      <c r="B35" s="41" t="s">
        <v>733</v>
      </c>
      <c r="C35" s="291" t="s">
        <v>1445</v>
      </c>
      <c r="D35" s="42" t="s">
        <v>727</v>
      </c>
      <c r="E35" s="43" t="s">
        <v>1446</v>
      </c>
      <c r="F35" s="190">
        <v>1</v>
      </c>
      <c r="G35" s="358" t="s">
        <v>1444</v>
      </c>
      <c r="H35" s="44"/>
      <c r="I35" s="191"/>
      <c r="K35" s="190">
        <f>+[2]GST!F35</f>
        <v>1</v>
      </c>
      <c r="N35" s="61">
        <v>0.4</v>
      </c>
      <c r="O35" s="61">
        <v>0.15</v>
      </c>
    </row>
    <row r="36" spans="1:15" ht="31.5" outlineLevel="1" x14ac:dyDescent="0.25">
      <c r="A36" s="8">
        <f t="shared" si="2"/>
        <v>118</v>
      </c>
      <c r="B36" s="41" t="s">
        <v>733</v>
      </c>
      <c r="C36" s="296" t="str">
        <f>+C35</f>
        <v>PLANIFICACIÓN OPERATIVA</v>
      </c>
      <c r="D36" s="42" t="s">
        <v>728</v>
      </c>
      <c r="E36" s="43" t="s">
        <v>1447</v>
      </c>
      <c r="F36" s="190">
        <v>1</v>
      </c>
      <c r="G36" s="357"/>
      <c r="H36" s="44"/>
      <c r="I36" s="191"/>
      <c r="K36" s="190">
        <f>+[2]GST!F36</f>
        <v>1</v>
      </c>
      <c r="N36" s="61">
        <v>0.6</v>
      </c>
      <c r="O36" s="61">
        <v>0.15</v>
      </c>
    </row>
    <row r="37" spans="1:15" ht="15.75" customHeight="1" outlineLevel="1" x14ac:dyDescent="0.25">
      <c r="A37" s="8">
        <f>+A36+1</f>
        <v>119</v>
      </c>
      <c r="B37" s="41" t="s">
        <v>1448</v>
      </c>
      <c r="C37" s="292" t="s">
        <v>1449</v>
      </c>
      <c r="D37" s="42" t="s">
        <v>1450</v>
      </c>
      <c r="E37" s="43" t="s">
        <v>1454</v>
      </c>
      <c r="F37" s="190">
        <v>1</v>
      </c>
      <c r="G37" s="355" t="s">
        <v>1458</v>
      </c>
      <c r="H37" s="44"/>
      <c r="I37" s="191" t="s">
        <v>1765</v>
      </c>
      <c r="K37" s="190">
        <f>+[2]GST!F37</f>
        <v>1</v>
      </c>
      <c r="N37" s="61">
        <v>0.5</v>
      </c>
      <c r="O37" s="61">
        <v>0.4</v>
      </c>
    </row>
    <row r="38" spans="1:15" outlineLevel="1" x14ac:dyDescent="0.25">
      <c r="A38" s="8">
        <f>+A37+1</f>
        <v>120</v>
      </c>
      <c r="B38" s="41" t="s">
        <v>1448</v>
      </c>
      <c r="C38" s="291" t="s">
        <v>1449</v>
      </c>
      <c r="D38" s="42" t="s">
        <v>1451</v>
      </c>
      <c r="E38" s="282" t="s">
        <v>1455</v>
      </c>
      <c r="F38" s="190" t="s">
        <v>142</v>
      </c>
      <c r="G38" s="356"/>
      <c r="H38" s="44"/>
      <c r="I38" s="191" t="s">
        <v>1765</v>
      </c>
      <c r="K38" s="190" t="str">
        <f>+[2]GST!F38</f>
        <v>N/A</v>
      </c>
      <c r="N38" s="61">
        <v>0</v>
      </c>
      <c r="O38" s="61">
        <v>0.4</v>
      </c>
    </row>
    <row r="39" spans="1:15" outlineLevel="1" x14ac:dyDescent="0.25">
      <c r="A39" s="8">
        <f t="shared" ref="A39:A40" si="3">+A38+1</f>
        <v>121</v>
      </c>
      <c r="B39" s="41" t="s">
        <v>1448</v>
      </c>
      <c r="C39" s="292" t="s">
        <v>1449</v>
      </c>
      <c r="D39" s="42" t="s">
        <v>1452</v>
      </c>
      <c r="E39" s="43" t="s">
        <v>1456</v>
      </c>
      <c r="F39" s="190">
        <v>1</v>
      </c>
      <c r="G39" s="356"/>
      <c r="H39" s="44"/>
      <c r="I39" s="191" t="s">
        <v>1765</v>
      </c>
      <c r="K39" s="190">
        <f>+[2]GST!F39</f>
        <v>1</v>
      </c>
      <c r="N39" s="61">
        <v>0.25</v>
      </c>
      <c r="O39" s="61">
        <v>0.4</v>
      </c>
    </row>
    <row r="40" spans="1:15" outlineLevel="1" x14ac:dyDescent="0.25">
      <c r="A40" s="8">
        <f t="shared" si="3"/>
        <v>122</v>
      </c>
      <c r="B40" s="41" t="s">
        <v>1448</v>
      </c>
      <c r="C40" s="296" t="s">
        <v>1449</v>
      </c>
      <c r="D40" s="42" t="s">
        <v>1453</v>
      </c>
      <c r="E40" s="43" t="s">
        <v>1457</v>
      </c>
      <c r="F40" s="190">
        <v>1</v>
      </c>
      <c r="G40" s="357"/>
      <c r="H40" s="44"/>
      <c r="I40" s="191" t="s">
        <v>1765</v>
      </c>
      <c r="K40" s="190">
        <f>+[2]GST!F40</f>
        <v>1</v>
      </c>
      <c r="N40" s="61">
        <v>0.25</v>
      </c>
      <c r="O40" s="61">
        <v>0.4</v>
      </c>
    </row>
    <row r="42" spans="1:15" ht="36.75" customHeight="1" x14ac:dyDescent="0.25">
      <c r="B42" s="283">
        <v>14</v>
      </c>
      <c r="C42" s="289" t="s">
        <v>1459</v>
      </c>
      <c r="D42" s="284"/>
      <c r="E42" s="285"/>
      <c r="F42" s="286">
        <f>SUMPRODUCT(F43:F46,N43:N46,O43:O46)</f>
        <v>0.99999999999999989</v>
      </c>
      <c r="G42" s="287"/>
      <c r="H42" s="287"/>
      <c r="I42" s="288"/>
      <c r="K42" s="286">
        <f>SUMPRODUCT(K43:K46,N43:N46,O43:O46)</f>
        <v>0.99999999999999989</v>
      </c>
      <c r="N42" s="60">
        <f>+[1]MATRIZ!$G$21</f>
        <v>0.1</v>
      </c>
      <c r="O42" s="278">
        <f>+N42*F42</f>
        <v>9.9999999999999992E-2</v>
      </c>
    </row>
    <row r="43" spans="1:15" ht="33" customHeight="1" outlineLevel="1" x14ac:dyDescent="0.25">
      <c r="A43" s="8">
        <f>+A40+1</f>
        <v>123</v>
      </c>
      <c r="B43" s="41" t="s">
        <v>740</v>
      </c>
      <c r="C43" s="291" t="s">
        <v>1460</v>
      </c>
      <c r="D43" s="42" t="s">
        <v>734</v>
      </c>
      <c r="E43" s="43" t="s">
        <v>292</v>
      </c>
      <c r="F43" s="190">
        <v>1</v>
      </c>
      <c r="G43" s="355" t="s">
        <v>1462</v>
      </c>
      <c r="H43" s="44"/>
      <c r="I43" s="191"/>
      <c r="K43" s="190">
        <f>+[2]GST!F43</f>
        <v>1</v>
      </c>
      <c r="N43" s="61">
        <v>0.5</v>
      </c>
      <c r="O43" s="61">
        <v>0.7</v>
      </c>
    </row>
    <row r="44" spans="1:15" ht="44.25" customHeight="1" outlineLevel="1" x14ac:dyDescent="0.25">
      <c r="A44" s="8">
        <f t="shared" ref="A44:A46" si="4">A43+1</f>
        <v>124</v>
      </c>
      <c r="B44" s="41" t="s">
        <v>740</v>
      </c>
      <c r="C44" s="296" t="s">
        <v>1460</v>
      </c>
      <c r="D44" s="42" t="s">
        <v>736</v>
      </c>
      <c r="E44" s="43" t="s">
        <v>1461</v>
      </c>
      <c r="F44" s="190">
        <v>1</v>
      </c>
      <c r="G44" s="357"/>
      <c r="H44" s="44"/>
      <c r="I44" s="191"/>
      <c r="K44" s="190">
        <f>+[2]GST!F44</f>
        <v>1</v>
      </c>
      <c r="N44" s="61">
        <v>0.5</v>
      </c>
      <c r="O44" s="61">
        <v>0.7</v>
      </c>
    </row>
    <row r="45" spans="1:15" ht="33" customHeight="1" outlineLevel="1" x14ac:dyDescent="0.25">
      <c r="A45" s="8">
        <f t="shared" si="4"/>
        <v>125</v>
      </c>
      <c r="B45" s="41" t="s">
        <v>741</v>
      </c>
      <c r="C45" s="291" t="s">
        <v>1463</v>
      </c>
      <c r="D45" s="42" t="s">
        <v>738</v>
      </c>
      <c r="E45" s="43" t="s">
        <v>1464</v>
      </c>
      <c r="F45" s="190">
        <v>1</v>
      </c>
      <c r="G45" s="355" t="s">
        <v>1465</v>
      </c>
      <c r="H45" s="44"/>
      <c r="I45" s="191"/>
      <c r="K45" s="190">
        <f>+[2]GST!F45</f>
        <v>1</v>
      </c>
      <c r="N45" s="61">
        <v>0.7</v>
      </c>
      <c r="O45" s="61">
        <v>0.3</v>
      </c>
    </row>
    <row r="46" spans="1:15" ht="44.25" customHeight="1" outlineLevel="1" x14ac:dyDescent="0.25">
      <c r="A46" s="8">
        <f t="shared" si="4"/>
        <v>126</v>
      </c>
      <c r="B46" s="41" t="s">
        <v>741</v>
      </c>
      <c r="C46" s="296" t="s">
        <v>1460</v>
      </c>
      <c r="D46" s="42" t="s">
        <v>739</v>
      </c>
      <c r="E46" s="43" t="s">
        <v>184</v>
      </c>
      <c r="F46" s="190">
        <v>1</v>
      </c>
      <c r="G46" s="357"/>
      <c r="H46" s="44"/>
      <c r="I46" s="191"/>
      <c r="K46" s="190">
        <f>+[2]GST!F46</f>
        <v>1</v>
      </c>
      <c r="N46" s="61">
        <v>0.3</v>
      </c>
      <c r="O46" s="61">
        <v>0.3</v>
      </c>
    </row>
    <row r="48" spans="1:15" ht="36.75" customHeight="1" x14ac:dyDescent="0.25">
      <c r="B48" s="283">
        <v>15</v>
      </c>
      <c r="C48" s="289" t="s">
        <v>1466</v>
      </c>
      <c r="D48" s="284"/>
      <c r="E48" s="285"/>
      <c r="F48" s="286">
        <f>SUMPRODUCT(F49:F50,N49:N50,O49:O50)</f>
        <v>1</v>
      </c>
      <c r="G48" s="287"/>
      <c r="H48" s="287"/>
      <c r="I48" s="288"/>
      <c r="K48" s="286">
        <f>SUMPRODUCT(K49:K50,N49:N50,O49:O50)</f>
        <v>0.6</v>
      </c>
      <c r="N48" s="60">
        <f>+[1]MATRIZ!$G$22</f>
        <v>0.1</v>
      </c>
      <c r="O48" s="278">
        <f>+N48*F48</f>
        <v>0.1</v>
      </c>
    </row>
    <row r="49" spans="1:15" ht="33" customHeight="1" outlineLevel="1" x14ac:dyDescent="0.25">
      <c r="A49" s="8">
        <f>+A46+1</f>
        <v>127</v>
      </c>
      <c r="B49" s="41" t="s">
        <v>1467</v>
      </c>
      <c r="C49" s="293" t="s">
        <v>1468</v>
      </c>
      <c r="D49" s="42" t="s">
        <v>1469</v>
      </c>
      <c r="E49" s="43" t="s">
        <v>1470</v>
      </c>
      <c r="F49" s="190">
        <v>1</v>
      </c>
      <c r="G49" s="302" t="s">
        <v>1474</v>
      </c>
      <c r="H49" s="44"/>
      <c r="I49" s="191"/>
      <c r="K49" s="190">
        <f>+[2]GST!F49</f>
        <v>0</v>
      </c>
      <c r="N49" s="61">
        <v>1</v>
      </c>
      <c r="O49" s="61">
        <v>0.4</v>
      </c>
    </row>
    <row r="50" spans="1:15" ht="44.25" customHeight="1" outlineLevel="1" x14ac:dyDescent="0.25">
      <c r="A50" s="8">
        <f t="shared" ref="A50" si="5">A49+1</f>
        <v>128</v>
      </c>
      <c r="B50" s="41" t="s">
        <v>1471</v>
      </c>
      <c r="C50" s="301" t="s">
        <v>1472</v>
      </c>
      <c r="D50" s="42" t="s">
        <v>1473</v>
      </c>
      <c r="E50" s="43" t="s">
        <v>35</v>
      </c>
      <c r="F50" s="190">
        <v>1</v>
      </c>
      <c r="G50" s="300" t="s">
        <v>1475</v>
      </c>
      <c r="H50" s="44"/>
      <c r="I50" s="191"/>
      <c r="K50" s="190">
        <f>+[2]GST!F50</f>
        <v>1</v>
      </c>
      <c r="N50" s="61">
        <v>1</v>
      </c>
      <c r="O50" s="61">
        <v>0.6</v>
      </c>
    </row>
    <row r="52" spans="1:15" ht="36.75" customHeight="1" x14ac:dyDescent="0.25">
      <c r="B52" s="283">
        <v>16</v>
      </c>
      <c r="C52" s="289" t="s">
        <v>1477</v>
      </c>
      <c r="D52" s="284"/>
      <c r="E52" s="285"/>
      <c r="F52" s="286">
        <f>SUMPRODUCT(F53:F63,N53:N63,O53:O63)</f>
        <v>0.8600000000000001</v>
      </c>
      <c r="G52" s="287"/>
      <c r="H52" s="287"/>
      <c r="I52" s="288"/>
      <c r="K52" s="286">
        <f>SUMPRODUCT(K53:K63,N53:N63,O53:O63)</f>
        <v>1.0000000000000002</v>
      </c>
      <c r="N52" s="60">
        <f>+[1]MATRIZ!$G$23</f>
        <v>0.3</v>
      </c>
      <c r="O52" s="278">
        <f>+N52*F52</f>
        <v>0.25800000000000001</v>
      </c>
    </row>
    <row r="53" spans="1:15" ht="15.75" customHeight="1" outlineLevel="1" x14ac:dyDescent="0.25">
      <c r="A53" s="8">
        <f>+A50+1</f>
        <v>129</v>
      </c>
      <c r="B53" s="41" t="s">
        <v>1476</v>
      </c>
      <c r="C53" s="292" t="s">
        <v>149</v>
      </c>
      <c r="D53" s="42" t="s">
        <v>1478</v>
      </c>
      <c r="E53" s="43" t="s">
        <v>1485</v>
      </c>
      <c r="F53" s="190">
        <v>1</v>
      </c>
      <c r="G53" s="355" t="s">
        <v>1492</v>
      </c>
      <c r="H53" s="44" t="s">
        <v>1538</v>
      </c>
      <c r="I53" s="191"/>
      <c r="K53" s="190">
        <f>+[2]GST!F53</f>
        <v>1</v>
      </c>
      <c r="N53" s="61">
        <v>0.2</v>
      </c>
      <c r="O53" s="61">
        <v>0.6</v>
      </c>
    </row>
    <row r="54" spans="1:15" outlineLevel="1" x14ac:dyDescent="0.25">
      <c r="A54" s="8">
        <f t="shared" ref="A54:A63" si="6">A53+1</f>
        <v>130</v>
      </c>
      <c r="B54" s="41" t="s">
        <v>1476</v>
      </c>
      <c r="C54" s="292" t="s">
        <v>149</v>
      </c>
      <c r="D54" s="42" t="s">
        <v>1479</v>
      </c>
      <c r="E54" s="43" t="s">
        <v>1486</v>
      </c>
      <c r="F54" s="190">
        <v>1</v>
      </c>
      <c r="G54" s="356"/>
      <c r="H54" s="44" t="s">
        <v>1538</v>
      </c>
      <c r="I54" s="191"/>
      <c r="K54" s="190">
        <f>+[2]GST!F54</f>
        <v>1</v>
      </c>
      <c r="N54" s="61">
        <v>0.2</v>
      </c>
      <c r="O54" s="61">
        <v>0.6</v>
      </c>
    </row>
    <row r="55" spans="1:15" outlineLevel="1" x14ac:dyDescent="0.25">
      <c r="A55" s="8">
        <f t="shared" si="6"/>
        <v>131</v>
      </c>
      <c r="B55" s="41" t="s">
        <v>1476</v>
      </c>
      <c r="C55" s="291" t="s">
        <v>149</v>
      </c>
      <c r="D55" s="42" t="s">
        <v>1480</v>
      </c>
      <c r="E55" s="351" t="s">
        <v>1487</v>
      </c>
      <c r="F55" s="190">
        <v>1</v>
      </c>
      <c r="G55" s="356"/>
      <c r="H55" s="44" t="s">
        <v>1538</v>
      </c>
      <c r="I55" s="191"/>
      <c r="K55" s="190">
        <f>+[2]GST!F55</f>
        <v>1</v>
      </c>
      <c r="N55" s="61">
        <v>0.1</v>
      </c>
      <c r="O55" s="61">
        <v>0.6</v>
      </c>
    </row>
    <row r="56" spans="1:15" outlineLevel="1" x14ac:dyDescent="0.25">
      <c r="A56" s="8">
        <f t="shared" si="6"/>
        <v>132</v>
      </c>
      <c r="B56" s="41" t="s">
        <v>1476</v>
      </c>
      <c r="C56" s="292" t="s">
        <v>149</v>
      </c>
      <c r="D56" s="42" t="s">
        <v>1481</v>
      </c>
      <c r="E56" s="43" t="s">
        <v>1488</v>
      </c>
      <c r="F56" s="190">
        <v>1</v>
      </c>
      <c r="G56" s="356"/>
      <c r="H56" s="44" t="s">
        <v>1538</v>
      </c>
      <c r="I56" s="191"/>
      <c r="K56" s="190">
        <f>+[2]GST!F56</f>
        <v>1</v>
      </c>
      <c r="N56" s="61">
        <v>0.2</v>
      </c>
      <c r="O56" s="61">
        <v>0.6</v>
      </c>
    </row>
    <row r="57" spans="1:15" outlineLevel="1" x14ac:dyDescent="0.25">
      <c r="A57" s="8">
        <f t="shared" si="6"/>
        <v>133</v>
      </c>
      <c r="B57" s="41" t="s">
        <v>1476</v>
      </c>
      <c r="C57" s="292" t="s">
        <v>149</v>
      </c>
      <c r="D57" s="42" t="s">
        <v>1482</v>
      </c>
      <c r="E57" s="43" t="s">
        <v>1489</v>
      </c>
      <c r="F57" s="190">
        <v>1</v>
      </c>
      <c r="G57" s="356"/>
      <c r="H57" s="44" t="s">
        <v>1538</v>
      </c>
      <c r="I57" s="191"/>
      <c r="K57" s="190">
        <f>+[2]GST!F57</f>
        <v>1</v>
      </c>
      <c r="N57" s="61">
        <v>0.1</v>
      </c>
      <c r="O57" s="61">
        <v>0.6</v>
      </c>
    </row>
    <row r="58" spans="1:15" outlineLevel="1" x14ac:dyDescent="0.25">
      <c r="A58" s="8">
        <f t="shared" si="6"/>
        <v>134</v>
      </c>
      <c r="B58" s="41" t="s">
        <v>1476</v>
      </c>
      <c r="C58" s="292" t="s">
        <v>149</v>
      </c>
      <c r="D58" s="42" t="s">
        <v>1483</v>
      </c>
      <c r="E58" s="43" t="s">
        <v>1490</v>
      </c>
      <c r="F58" s="190">
        <v>1</v>
      </c>
      <c r="G58" s="356"/>
      <c r="H58" s="44" t="s">
        <v>1538</v>
      </c>
      <c r="I58" s="191"/>
      <c r="K58" s="190">
        <f>+[2]GST!F58</f>
        <v>1</v>
      </c>
      <c r="N58" s="61">
        <v>0.1</v>
      </c>
      <c r="O58" s="61">
        <v>0.6</v>
      </c>
    </row>
    <row r="59" spans="1:15" ht="31.5" outlineLevel="1" x14ac:dyDescent="0.25">
      <c r="A59" s="8">
        <f t="shared" si="6"/>
        <v>135</v>
      </c>
      <c r="B59" s="41" t="s">
        <v>1476</v>
      </c>
      <c r="C59" s="296" t="s">
        <v>149</v>
      </c>
      <c r="D59" s="42" t="s">
        <v>1484</v>
      </c>
      <c r="E59" s="351" t="s">
        <v>1759</v>
      </c>
      <c r="F59" s="190">
        <v>0</v>
      </c>
      <c r="G59" s="357"/>
      <c r="H59" s="44"/>
      <c r="I59" s="191" t="s">
        <v>1774</v>
      </c>
      <c r="K59" s="190">
        <f>+[2]GST!F59</f>
        <v>1</v>
      </c>
      <c r="N59" s="61">
        <v>0.1</v>
      </c>
      <c r="O59" s="61">
        <v>0.6</v>
      </c>
    </row>
    <row r="60" spans="1:15" ht="15.75" customHeight="1" outlineLevel="1" x14ac:dyDescent="0.25">
      <c r="A60" s="8">
        <f t="shared" si="6"/>
        <v>136</v>
      </c>
      <c r="B60" s="41" t="s">
        <v>1493</v>
      </c>
      <c r="C60" s="292" t="s">
        <v>16</v>
      </c>
      <c r="D60" s="42" t="s">
        <v>1494</v>
      </c>
      <c r="E60" s="43" t="s">
        <v>1498</v>
      </c>
      <c r="F60" s="190">
        <v>1</v>
      </c>
      <c r="G60" s="355" t="s">
        <v>1647</v>
      </c>
      <c r="H60" s="44"/>
      <c r="I60" s="191" t="s">
        <v>1782</v>
      </c>
      <c r="K60" s="190">
        <f>+[2]GST!F60</f>
        <v>1</v>
      </c>
      <c r="N60" s="61">
        <v>0.4</v>
      </c>
      <c r="O60" s="61">
        <v>0.4</v>
      </c>
    </row>
    <row r="61" spans="1:15" ht="47.25" outlineLevel="1" x14ac:dyDescent="0.25">
      <c r="A61" s="8">
        <f t="shared" si="6"/>
        <v>137</v>
      </c>
      <c r="B61" s="41" t="s">
        <v>1493</v>
      </c>
      <c r="C61" s="291" t="s">
        <v>16</v>
      </c>
      <c r="D61" s="42" t="s">
        <v>1495</v>
      </c>
      <c r="E61" s="43" t="s">
        <v>1499</v>
      </c>
      <c r="F61" s="190">
        <v>0</v>
      </c>
      <c r="G61" s="356"/>
      <c r="H61" s="44"/>
      <c r="I61" s="353" t="s">
        <v>1783</v>
      </c>
      <c r="K61" s="190">
        <f>+[2]GST!F61</f>
        <v>1</v>
      </c>
      <c r="N61" s="61">
        <v>0.2</v>
      </c>
      <c r="O61" s="61">
        <v>0.4</v>
      </c>
    </row>
    <row r="62" spans="1:15" ht="31.5" outlineLevel="1" x14ac:dyDescent="0.25">
      <c r="A62" s="8">
        <f t="shared" si="6"/>
        <v>138</v>
      </c>
      <c r="B62" s="41" t="s">
        <v>1493</v>
      </c>
      <c r="C62" s="292" t="s">
        <v>16</v>
      </c>
      <c r="D62" s="42" t="s">
        <v>1496</v>
      </c>
      <c r="E62" s="43" t="s">
        <v>1500</v>
      </c>
      <c r="F62" s="190">
        <v>1</v>
      </c>
      <c r="G62" s="356"/>
      <c r="H62" s="44"/>
      <c r="I62" s="191"/>
      <c r="K62" s="190">
        <f>+[2]GST!F62</f>
        <v>1</v>
      </c>
      <c r="N62" s="61">
        <v>0.2</v>
      </c>
      <c r="O62" s="61">
        <v>0.4</v>
      </c>
    </row>
    <row r="63" spans="1:15" outlineLevel="1" x14ac:dyDescent="0.25">
      <c r="A63" s="8">
        <f t="shared" si="6"/>
        <v>139</v>
      </c>
      <c r="B63" s="41" t="s">
        <v>1493</v>
      </c>
      <c r="C63" s="296" t="s">
        <v>16</v>
      </c>
      <c r="D63" s="42" t="s">
        <v>1497</v>
      </c>
      <c r="E63" s="43" t="s">
        <v>28</v>
      </c>
      <c r="F63" s="190">
        <v>1</v>
      </c>
      <c r="G63" s="357"/>
      <c r="H63" s="44"/>
      <c r="I63" s="191"/>
      <c r="K63" s="190">
        <f>+[2]GST!F63</f>
        <v>1</v>
      </c>
      <c r="N63" s="61">
        <v>0.2</v>
      </c>
      <c r="O63" s="61">
        <v>0.4</v>
      </c>
    </row>
  </sheetData>
  <sheetProtection autoFilter="0"/>
  <protectedRanges>
    <protectedRange sqref="F20:F29 F32:F36 F43:F46 F49:F50 F53:F59 F9:F15 K9:K29 K32:K40 K43:K46 K49:K50 K53:K63" name="Rango1"/>
    <protectedRange sqref="F16:F19 F37:F40" name="Rango1_1"/>
    <protectedRange sqref="F60:F63" name="Rango1_2"/>
  </protectedRanges>
  <autoFilter ref="A7:I8" xr:uid="{00000000-0009-0000-0000-000004000000}"/>
  <mergeCells count="11">
    <mergeCell ref="N5:O5"/>
    <mergeCell ref="G9:G15"/>
    <mergeCell ref="G53:G59"/>
    <mergeCell ref="G60:G63"/>
    <mergeCell ref="G16:G19"/>
    <mergeCell ref="G20:G29"/>
    <mergeCell ref="G32:G34"/>
    <mergeCell ref="G35:G36"/>
    <mergeCell ref="G37:G40"/>
    <mergeCell ref="G43:G44"/>
    <mergeCell ref="G45:G46"/>
  </mergeCells>
  <conditionalFormatting sqref="A1:A15 A21:A36 A41:A1048576">
    <cfRule type="duplicateValues" dxfId="270" priority="128"/>
  </conditionalFormatting>
  <conditionalFormatting sqref="A16:A29">
    <cfRule type="duplicateValues" dxfId="269" priority="77"/>
  </conditionalFormatting>
  <conditionalFormatting sqref="A37:A40">
    <cfRule type="duplicateValues" dxfId="268" priority="57"/>
  </conditionalFormatting>
  <conditionalFormatting sqref="A60:A63">
    <cfRule type="duplicateValues" dxfId="267" priority="24"/>
  </conditionalFormatting>
  <conditionalFormatting sqref="F9:F29 K9:K29">
    <cfRule type="containsText" dxfId="266" priority="66" operator="containsText" text="0">
      <formula>NOT(ISERROR(SEARCH("0",F9)))</formula>
    </cfRule>
    <cfRule type="containsText" dxfId="265" priority="67" operator="containsText" text="1">
      <formula>NOT(ISERROR(SEARCH("1",F9)))</formula>
    </cfRule>
  </conditionalFormatting>
  <conditionalFormatting sqref="F9:F29">
    <cfRule type="containsText" dxfId="264" priority="63" operator="containsText" text="NA - 1">
      <formula>NOT(ISERROR(SEARCH("NA - 1",F9)))</formula>
    </cfRule>
    <cfRule type="containsText" dxfId="263" priority="64" operator="containsText" text="NA - 0">
      <formula>NOT(ISERROR(SEARCH("NA - 0",F9)))</formula>
    </cfRule>
    <cfRule type="containsText" dxfId="262" priority="65" operator="containsText" text="N/A">
      <formula>NOT(ISERROR(SEARCH("N/A",F9)))</formula>
    </cfRule>
  </conditionalFormatting>
  <conditionalFormatting sqref="F32:F40">
    <cfRule type="containsText" dxfId="261" priority="56" operator="containsText" text="1">
      <formula>NOT(ISERROR(SEARCH("1",F32)))</formula>
    </cfRule>
    <cfRule type="containsText" dxfId="260" priority="55" operator="containsText" text="0">
      <formula>NOT(ISERROR(SEARCH("0",F32)))</formula>
    </cfRule>
    <cfRule type="containsText" dxfId="259" priority="54" operator="containsText" text="N/A">
      <formula>NOT(ISERROR(SEARCH("N/A",F32)))</formula>
    </cfRule>
    <cfRule type="containsText" dxfId="258" priority="53" operator="containsText" text="NA - 0">
      <formula>NOT(ISERROR(SEARCH("NA - 0",F32)))</formula>
    </cfRule>
    <cfRule type="containsText" dxfId="257" priority="52" operator="containsText" text="NA - 1">
      <formula>NOT(ISERROR(SEARCH("NA - 1",F32)))</formula>
    </cfRule>
  </conditionalFormatting>
  <conditionalFormatting sqref="F43:F46">
    <cfRule type="containsText" dxfId="256" priority="47" operator="containsText" text="1">
      <formula>NOT(ISERROR(SEARCH("1",F43)))</formula>
    </cfRule>
    <cfRule type="containsText" dxfId="255" priority="46" operator="containsText" text="0">
      <formula>NOT(ISERROR(SEARCH("0",F43)))</formula>
    </cfRule>
    <cfRule type="containsText" dxfId="254" priority="45" operator="containsText" text="N/A">
      <formula>NOT(ISERROR(SEARCH("N/A",F43)))</formula>
    </cfRule>
    <cfRule type="containsText" dxfId="253" priority="44" operator="containsText" text="NA - 0">
      <formula>NOT(ISERROR(SEARCH("NA - 0",F43)))</formula>
    </cfRule>
    <cfRule type="containsText" dxfId="252" priority="43" operator="containsText" text="NA - 1">
      <formula>NOT(ISERROR(SEARCH("NA - 1",F43)))</formula>
    </cfRule>
  </conditionalFormatting>
  <conditionalFormatting sqref="F49:F50">
    <cfRule type="containsText" dxfId="251" priority="30" operator="containsText" text="NA - 1">
      <formula>NOT(ISERROR(SEARCH("NA - 1",F49)))</formula>
    </cfRule>
    <cfRule type="containsText" dxfId="250" priority="31" operator="containsText" text="NA - 0">
      <formula>NOT(ISERROR(SEARCH("NA - 0",F49)))</formula>
    </cfRule>
    <cfRule type="containsText" dxfId="249" priority="32" operator="containsText" text="N/A">
      <formula>NOT(ISERROR(SEARCH("N/A",F49)))</formula>
    </cfRule>
    <cfRule type="containsText" dxfId="248" priority="33" operator="containsText" text="0">
      <formula>NOT(ISERROR(SEARCH("0",F49)))</formula>
    </cfRule>
    <cfRule type="containsText" dxfId="247" priority="34" operator="containsText" text="1">
      <formula>NOT(ISERROR(SEARCH("1",F49)))</formula>
    </cfRule>
  </conditionalFormatting>
  <conditionalFormatting sqref="F53:F63">
    <cfRule type="containsText" dxfId="246" priority="23" operator="containsText" text="1">
      <formula>NOT(ISERROR(SEARCH("1",F53)))</formula>
    </cfRule>
    <cfRule type="containsText" dxfId="245" priority="22" operator="containsText" text="0">
      <formula>NOT(ISERROR(SEARCH("0",F53)))</formula>
    </cfRule>
    <cfRule type="containsText" dxfId="244" priority="21" operator="containsText" text="N/A">
      <formula>NOT(ISERROR(SEARCH("N/A",F53)))</formula>
    </cfRule>
    <cfRule type="containsText" dxfId="243" priority="20" operator="containsText" text="NA - 0">
      <formula>NOT(ISERROR(SEARCH("NA - 0",F53)))</formula>
    </cfRule>
    <cfRule type="containsText" dxfId="242" priority="19" operator="containsText" text="NA - 1">
      <formula>NOT(ISERROR(SEARCH("NA - 1",F53)))</formula>
    </cfRule>
  </conditionalFormatting>
  <conditionalFormatting sqref="K32:K40">
    <cfRule type="containsText" dxfId="241" priority="8" operator="containsText" text="1">
      <formula>NOT(ISERROR(SEARCH("1",K32)))</formula>
    </cfRule>
    <cfRule type="containsText" dxfId="240" priority="7" operator="containsText" text="0">
      <formula>NOT(ISERROR(SEARCH("0",K32)))</formula>
    </cfRule>
  </conditionalFormatting>
  <conditionalFormatting sqref="K43:K46">
    <cfRule type="containsText" dxfId="239" priority="6" operator="containsText" text="1">
      <formula>NOT(ISERROR(SEARCH("1",K43)))</formula>
    </cfRule>
    <cfRule type="containsText" dxfId="238" priority="5" operator="containsText" text="0">
      <formula>NOT(ISERROR(SEARCH("0",K43)))</formula>
    </cfRule>
  </conditionalFormatting>
  <conditionalFormatting sqref="K49:K50">
    <cfRule type="containsText" dxfId="237" priority="4" operator="containsText" text="1">
      <formula>NOT(ISERROR(SEARCH("1",K49)))</formula>
    </cfRule>
    <cfRule type="containsText" dxfId="236" priority="3" operator="containsText" text="0">
      <formula>NOT(ISERROR(SEARCH("0",K49)))</formula>
    </cfRule>
  </conditionalFormatting>
  <conditionalFormatting sqref="K53:K63">
    <cfRule type="containsText" dxfId="235" priority="2" operator="containsText" text="1">
      <formula>NOT(ISERROR(SEARCH("1",K53)))</formula>
    </cfRule>
    <cfRule type="containsText" dxfId="234" priority="1" operator="containsText" text="0">
      <formula>NOT(ISERROR(SEARCH("0",K53)))</formula>
    </cfRule>
  </conditionalFormatting>
  <dataValidations count="2">
    <dataValidation type="list" showErrorMessage="1" sqref="F53:F63 F32:F40 F43:F46 F49:F50 F9:F29" xr:uid="{16D71580-250B-4272-AB4B-8A06E7671893}">
      <formula1>$Z$1:$Z$5</formula1>
    </dataValidation>
    <dataValidation type="list" showErrorMessage="1" sqref="K43:K46 K49:K50 K9:K29 K32:K40 K53:K63" xr:uid="{6E228857-9C21-4072-B51D-3C7CB5C790AA}">
      <formula1>$Z$1:$Z$3</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75ECC-5651-496A-AEF4-501AF6A76ABB}">
  <sheetPr>
    <tabColor rgb="FF7030A0"/>
  </sheetPr>
  <dimension ref="A1:Z66"/>
  <sheetViews>
    <sheetView showGridLines="0" tabSelected="1" zoomScale="70" zoomScaleNormal="70" workbookViewId="0">
      <pane xSplit="2" ySplit="6" topLeftCell="C21" activePane="bottomRight" state="frozen"/>
      <selection activeCell="G9" sqref="G9:G12"/>
      <selection pane="topRight" activeCell="G9" sqref="G9:G12"/>
      <selection pane="bottomLeft" activeCell="G9" sqref="G9:G12"/>
      <selection pane="bottomRight" activeCell="E24" sqref="E24"/>
    </sheetView>
  </sheetViews>
  <sheetFormatPr baseColWidth="10" defaultColWidth="11" defaultRowHeight="15.75" outlineLevelRow="1" outlineLevelCol="1" x14ac:dyDescent="0.25"/>
  <cols>
    <col min="1" max="1" width="4.375" style="8" bestFit="1" customWidth="1"/>
    <col min="2" max="2" width="8.125" style="19" customWidth="1"/>
    <col min="3" max="3" width="31.625" style="1" bestFit="1" customWidth="1"/>
    <col min="4" max="4" width="8.625" style="9" customWidth="1"/>
    <col min="5" max="5" width="79.125" customWidth="1"/>
    <col min="6" max="6" width="14.75" style="1" customWidth="1"/>
    <col min="7" max="7" width="26.75" style="1" customWidth="1"/>
    <col min="8" max="8" width="9.125" style="1" bestFit="1" customWidth="1"/>
    <col min="9" max="9" width="30.625" style="1" hidden="1" customWidth="1"/>
    <col min="10" max="10" width="3.375" hidden="1" customWidth="1"/>
    <col min="11" max="11" width="8.875" style="1" hidden="1" customWidth="1"/>
    <col min="12" max="12" width="10.625" style="1" hidden="1" customWidth="1"/>
    <col min="13" max="13" width="3.875" hidden="1" customWidth="1"/>
    <col min="14" max="14" width="21.5" customWidth="1" outlineLevel="1"/>
    <col min="15" max="15" width="18.125" style="1" customWidth="1" outlineLevel="1"/>
  </cols>
  <sheetData>
    <row r="1" spans="1:26" hidden="1" x14ac:dyDescent="0.25">
      <c r="F1" s="153"/>
      <c r="Z1">
        <v>0</v>
      </c>
    </row>
    <row r="2" spans="1:26" ht="36" customHeight="1" x14ac:dyDescent="0.25">
      <c r="F2" s="50" t="s">
        <v>853</v>
      </c>
      <c r="G2" s="240"/>
      <c r="J2" s="1"/>
      <c r="K2" s="50" t="s">
        <v>854</v>
      </c>
      <c r="Z2">
        <v>1</v>
      </c>
    </row>
    <row r="3" spans="1:26" ht="21.75" customHeight="1" x14ac:dyDescent="0.5">
      <c r="B3" s="39"/>
      <c r="D3" s="39"/>
      <c r="E3" s="49" t="str">
        <f>+B5</f>
        <v>Area de interés : Integridad del Producto</v>
      </c>
      <c r="F3" s="52">
        <f>+O8+O14+O33+O42+O49+O58</f>
        <v>0.97411111091499991</v>
      </c>
      <c r="G3" s="305"/>
      <c r="K3" s="52">
        <f>+K8*N8+K14*N14+K33*N33+K42*N42+K49*N49+K58*N58</f>
        <v>0.96021666648999993</v>
      </c>
      <c r="N3" s="280" t="s">
        <v>1256</v>
      </c>
      <c r="O3" s="54">
        <v>0.3</v>
      </c>
      <c r="Z3" t="s">
        <v>142</v>
      </c>
    </row>
    <row r="4" spans="1:26" ht="21.75" customHeight="1" x14ac:dyDescent="0.7">
      <c r="B4" s="40"/>
      <c r="E4" s="49" t="s">
        <v>860</v>
      </c>
      <c r="F4" s="52">
        <f>+F3*O3</f>
        <v>0.29223333327449996</v>
      </c>
      <c r="G4" s="334">
        <f>+F4+GST!F4+PLG!F4+IFT!F4</f>
        <v>0.95677083327449997</v>
      </c>
      <c r="K4" s="52">
        <f>+K3*O3</f>
        <v>0.28806499994699997</v>
      </c>
      <c r="L4" s="334">
        <f>+K4+GST!K4+PLG!K4+IFT!K4</f>
        <v>0.95931499994699998</v>
      </c>
      <c r="Z4" t="s">
        <v>1229</v>
      </c>
    </row>
    <row r="5" spans="1:26" ht="36" x14ac:dyDescent="0.55000000000000004">
      <c r="B5" s="67" t="s">
        <v>1503</v>
      </c>
      <c r="E5" s="76"/>
      <c r="N5" s="359" t="s">
        <v>1255</v>
      </c>
      <c r="O5" s="360"/>
      <c r="Z5" t="s">
        <v>1230</v>
      </c>
    </row>
    <row r="6" spans="1:26" ht="18.75" x14ac:dyDescent="0.25">
      <c r="B6" s="49" t="s">
        <v>4</v>
      </c>
      <c r="C6" s="49" t="s">
        <v>153</v>
      </c>
      <c r="D6" s="49"/>
      <c r="E6" s="49" t="s">
        <v>118</v>
      </c>
      <c r="F6" s="50" t="s">
        <v>853</v>
      </c>
      <c r="G6" s="49" t="s">
        <v>1242</v>
      </c>
      <c r="H6" s="49" t="s">
        <v>1725</v>
      </c>
      <c r="I6" s="49" t="s">
        <v>514</v>
      </c>
      <c r="K6" s="50" t="s">
        <v>854</v>
      </c>
      <c r="N6" s="276" t="s">
        <v>1257</v>
      </c>
      <c r="O6" s="277" t="s">
        <v>1258</v>
      </c>
    </row>
    <row r="7" spans="1:26" ht="6" customHeight="1" x14ac:dyDescent="0.25"/>
    <row r="8" spans="1:26" ht="36.75" customHeight="1" x14ac:dyDescent="0.25">
      <c r="B8" s="283">
        <v>17</v>
      </c>
      <c r="C8" s="289" t="s">
        <v>1332</v>
      </c>
      <c r="D8" s="284"/>
      <c r="E8" s="285"/>
      <c r="F8" s="286">
        <f>SUMPRODUCT(F9:F12,N9:N12,O9:O12)</f>
        <v>1</v>
      </c>
      <c r="G8" s="287"/>
      <c r="H8" s="287"/>
      <c r="I8" s="288"/>
      <c r="K8" s="286">
        <f>SUMPRODUCT(K9:K12,N9:N12,O9:O12)</f>
        <v>1</v>
      </c>
      <c r="N8" s="60">
        <f>+[1]MATRIZ!$G$24</f>
        <v>0.15</v>
      </c>
      <c r="O8" s="278">
        <f>+N8*F8</f>
        <v>0.15</v>
      </c>
    </row>
    <row r="9" spans="1:26" ht="15.75" customHeight="1" outlineLevel="1" x14ac:dyDescent="0.25">
      <c r="A9" s="8">
        <f>+GST!A63+1</f>
        <v>140</v>
      </c>
      <c r="B9" s="41" t="s">
        <v>1504</v>
      </c>
      <c r="C9" s="292" t="s">
        <v>1350</v>
      </c>
      <c r="D9" s="42" t="s">
        <v>1505</v>
      </c>
      <c r="E9" s="43" t="s">
        <v>6</v>
      </c>
      <c r="F9" s="190">
        <v>1</v>
      </c>
      <c r="G9" s="355" t="s">
        <v>1511</v>
      </c>
      <c r="H9" s="44"/>
      <c r="I9" s="191"/>
      <c r="K9" s="190">
        <f>+[2]IDP!F9</f>
        <v>1</v>
      </c>
      <c r="N9" s="61">
        <v>0.5</v>
      </c>
      <c r="O9" s="61">
        <v>1</v>
      </c>
    </row>
    <row r="10" spans="1:26" outlineLevel="1" x14ac:dyDescent="0.25">
      <c r="A10" s="8">
        <f t="shared" ref="A10:A12" si="0">A9+1</f>
        <v>141</v>
      </c>
      <c r="B10" s="41" t="s">
        <v>1504</v>
      </c>
      <c r="C10" s="291" t="s">
        <v>1350</v>
      </c>
      <c r="D10" s="42" t="s">
        <v>1506</v>
      </c>
      <c r="E10" s="43" t="s">
        <v>7</v>
      </c>
      <c r="F10" s="190">
        <v>1</v>
      </c>
      <c r="G10" s="356"/>
      <c r="H10" s="44"/>
      <c r="I10" s="191"/>
      <c r="K10" s="190">
        <f>+[2]IDP!F10</f>
        <v>1</v>
      </c>
      <c r="N10" s="61">
        <v>0.5</v>
      </c>
      <c r="O10" s="61">
        <v>1</v>
      </c>
    </row>
    <row r="11" spans="1:26" outlineLevel="1" x14ac:dyDescent="0.25">
      <c r="A11" s="8">
        <f t="shared" si="0"/>
        <v>142</v>
      </c>
      <c r="B11" s="41" t="s">
        <v>1504</v>
      </c>
      <c r="C11" s="292" t="s">
        <v>1350</v>
      </c>
      <c r="D11" s="42" t="s">
        <v>1507</v>
      </c>
      <c r="E11" s="282" t="s">
        <v>1509</v>
      </c>
      <c r="F11" s="190" t="s">
        <v>142</v>
      </c>
      <c r="G11" s="356"/>
      <c r="H11" s="44"/>
      <c r="I11" s="191"/>
      <c r="K11" s="190" t="str">
        <f>+[2]IDP!F11</f>
        <v>N/A</v>
      </c>
      <c r="N11" s="61">
        <v>0</v>
      </c>
      <c r="O11" s="61">
        <v>1</v>
      </c>
    </row>
    <row r="12" spans="1:26" outlineLevel="1" x14ac:dyDescent="0.25">
      <c r="A12" s="8">
        <f t="shared" si="0"/>
        <v>143</v>
      </c>
      <c r="B12" s="41" t="s">
        <v>1504</v>
      </c>
      <c r="C12" s="296" t="s">
        <v>1350</v>
      </c>
      <c r="D12" s="42" t="s">
        <v>1508</v>
      </c>
      <c r="E12" s="282" t="s">
        <v>1510</v>
      </c>
      <c r="F12" s="190" t="s">
        <v>142</v>
      </c>
      <c r="G12" s="356"/>
      <c r="H12" s="44"/>
      <c r="I12" s="191"/>
      <c r="K12" s="190" t="str">
        <f>+[2]IDP!F12</f>
        <v>N/A</v>
      </c>
      <c r="N12" s="61">
        <v>0</v>
      </c>
      <c r="O12" s="61">
        <v>1</v>
      </c>
    </row>
    <row r="13" spans="1:26" ht="16.5" customHeight="1" x14ac:dyDescent="0.25"/>
    <row r="14" spans="1:26" ht="36.75" customHeight="1" x14ac:dyDescent="0.25">
      <c r="B14" s="283">
        <v>18</v>
      </c>
      <c r="C14" s="289" t="s">
        <v>1291</v>
      </c>
      <c r="D14" s="284"/>
      <c r="E14" s="285"/>
      <c r="F14" s="286">
        <f>SUMPRODUCT(F15:F31,N15:N31,O15:O31)</f>
        <v>0.94444444366000002</v>
      </c>
      <c r="G14" s="287"/>
      <c r="H14" s="287"/>
      <c r="I14" s="288"/>
      <c r="K14" s="286">
        <f>SUMPRODUCT(K15:K31,N15:N31,O15:O31)</f>
        <v>0.88886666595999997</v>
      </c>
      <c r="N14" s="60">
        <f>+[1]MATRIZ!$G$25</f>
        <v>0.25</v>
      </c>
      <c r="O14" s="278">
        <f>+N14*F14</f>
        <v>0.23611111091500001</v>
      </c>
    </row>
    <row r="15" spans="1:26" ht="15.75" customHeight="1" outlineLevel="1" x14ac:dyDescent="0.25">
      <c r="A15" s="8">
        <f>+A12+1</f>
        <v>144</v>
      </c>
      <c r="B15" s="41" t="s">
        <v>1513</v>
      </c>
      <c r="C15" s="292" t="s">
        <v>1512</v>
      </c>
      <c r="D15" s="42" t="s">
        <v>1514</v>
      </c>
      <c r="E15" s="43" t="s">
        <v>1518</v>
      </c>
      <c r="F15" s="190">
        <v>1</v>
      </c>
      <c r="G15" s="355" t="s">
        <v>1521</v>
      </c>
      <c r="H15" s="44"/>
      <c r="I15" s="191"/>
      <c r="K15" s="190">
        <f>+[2]IDP!F15</f>
        <v>1</v>
      </c>
      <c r="N15" s="61">
        <v>0.4</v>
      </c>
      <c r="O15" s="61">
        <v>0.16666666665999999</v>
      </c>
    </row>
    <row r="16" spans="1:26" ht="31.5" outlineLevel="1" x14ac:dyDescent="0.25">
      <c r="A16" s="8">
        <f t="shared" ref="A16:A31" si="1">A15+1</f>
        <v>145</v>
      </c>
      <c r="B16" s="41" t="s">
        <v>1513</v>
      </c>
      <c r="C16" s="291" t="s">
        <v>1512</v>
      </c>
      <c r="D16" s="42" t="s">
        <v>1515</v>
      </c>
      <c r="E16" s="43" t="s">
        <v>1519</v>
      </c>
      <c r="F16" s="190">
        <v>1</v>
      </c>
      <c r="G16" s="356"/>
      <c r="H16" s="44"/>
      <c r="I16" s="191"/>
      <c r="K16" s="190">
        <f>+[2]IDP!F16</f>
        <v>1</v>
      </c>
      <c r="N16" s="61">
        <v>0.4</v>
      </c>
      <c r="O16" s="61">
        <v>0.16666666665999999</v>
      </c>
    </row>
    <row r="17" spans="1:15" ht="31.5" outlineLevel="1" x14ac:dyDescent="0.25">
      <c r="A17" s="8">
        <f t="shared" si="1"/>
        <v>146</v>
      </c>
      <c r="B17" s="41" t="s">
        <v>1513</v>
      </c>
      <c r="C17" s="292" t="s">
        <v>1512</v>
      </c>
      <c r="D17" s="42" t="s">
        <v>1516</v>
      </c>
      <c r="E17" s="282" t="s">
        <v>1520</v>
      </c>
      <c r="F17" s="190" t="s">
        <v>142</v>
      </c>
      <c r="G17" s="356"/>
      <c r="H17" s="44"/>
      <c r="I17" s="191"/>
      <c r="K17" s="190" t="str">
        <f>+[2]IDP!F17</f>
        <v>N/A</v>
      </c>
      <c r="N17" s="61">
        <v>0</v>
      </c>
      <c r="O17" s="61">
        <v>0.16666666665999999</v>
      </c>
    </row>
    <row r="18" spans="1:15" outlineLevel="1" x14ac:dyDescent="0.25">
      <c r="A18" s="8">
        <f t="shared" si="1"/>
        <v>147</v>
      </c>
      <c r="B18" s="41" t="s">
        <v>1513</v>
      </c>
      <c r="C18" s="296" t="s">
        <v>1512</v>
      </c>
      <c r="D18" s="42" t="s">
        <v>1517</v>
      </c>
      <c r="E18" s="43" t="s">
        <v>8</v>
      </c>
      <c r="F18" s="190">
        <v>1</v>
      </c>
      <c r="G18" s="357"/>
      <c r="H18" s="44"/>
      <c r="I18" s="191"/>
      <c r="K18" s="190">
        <f>+[2]IDP!F18</f>
        <v>1</v>
      </c>
      <c r="N18" s="61">
        <v>0.2</v>
      </c>
      <c r="O18" s="61">
        <v>0.16666666665999999</v>
      </c>
    </row>
    <row r="19" spans="1:15" ht="15.75" customHeight="1" outlineLevel="1" x14ac:dyDescent="0.25">
      <c r="A19" s="8">
        <f>+A18+1</f>
        <v>148</v>
      </c>
      <c r="B19" s="41" t="s">
        <v>1522</v>
      </c>
      <c r="C19" s="292" t="s">
        <v>1523</v>
      </c>
      <c r="D19" s="42" t="s">
        <v>1524</v>
      </c>
      <c r="E19" s="43" t="s">
        <v>9</v>
      </c>
      <c r="F19" s="190">
        <v>1</v>
      </c>
      <c r="G19" s="355" t="s">
        <v>1530</v>
      </c>
      <c r="H19" s="44"/>
      <c r="I19" s="191"/>
      <c r="K19" s="190">
        <f>+[2]IDP!F19</f>
        <v>1</v>
      </c>
      <c r="N19" s="61">
        <v>0.4</v>
      </c>
      <c r="O19" s="61">
        <v>0.277777777</v>
      </c>
    </row>
    <row r="20" spans="1:15" outlineLevel="1" x14ac:dyDescent="0.25">
      <c r="A20" s="8">
        <f t="shared" si="1"/>
        <v>149</v>
      </c>
      <c r="B20" s="41" t="s">
        <v>1522</v>
      </c>
      <c r="C20" s="291" t="s">
        <v>1523</v>
      </c>
      <c r="D20" s="42" t="s">
        <v>1525</v>
      </c>
      <c r="E20" s="43" t="s">
        <v>1528</v>
      </c>
      <c r="F20" s="190">
        <v>1</v>
      </c>
      <c r="G20" s="356"/>
      <c r="H20" s="44"/>
      <c r="I20" s="191"/>
      <c r="K20" s="190">
        <f>+[2]IDP!F20</f>
        <v>1</v>
      </c>
      <c r="N20" s="61">
        <v>0.4</v>
      </c>
      <c r="O20" s="61">
        <v>0.277777777</v>
      </c>
    </row>
    <row r="21" spans="1:15" outlineLevel="1" x14ac:dyDescent="0.25">
      <c r="A21" s="8">
        <f t="shared" si="1"/>
        <v>150</v>
      </c>
      <c r="B21" s="41" t="s">
        <v>1522</v>
      </c>
      <c r="C21" s="292" t="s">
        <v>1523</v>
      </c>
      <c r="D21" s="42" t="s">
        <v>1526</v>
      </c>
      <c r="E21" s="43" t="s">
        <v>293</v>
      </c>
      <c r="F21" s="190">
        <v>1</v>
      </c>
      <c r="G21" s="356"/>
      <c r="H21" s="44"/>
      <c r="I21" s="191"/>
      <c r="K21" s="190">
        <f>+[2]IDP!F21</f>
        <v>0</v>
      </c>
      <c r="N21" s="61">
        <v>0.1</v>
      </c>
      <c r="O21" s="61">
        <v>0.277777777</v>
      </c>
    </row>
    <row r="22" spans="1:15" ht="31.5" outlineLevel="1" x14ac:dyDescent="0.25">
      <c r="A22" s="8">
        <f t="shared" si="1"/>
        <v>151</v>
      </c>
      <c r="B22" s="41" t="s">
        <v>1522</v>
      </c>
      <c r="C22" s="296" t="s">
        <v>1523</v>
      </c>
      <c r="D22" s="42" t="s">
        <v>1527</v>
      </c>
      <c r="E22" s="43" t="s">
        <v>1529</v>
      </c>
      <c r="F22" s="190">
        <v>1</v>
      </c>
      <c r="G22" s="357"/>
      <c r="H22" s="44"/>
      <c r="I22" s="191"/>
      <c r="K22" s="190">
        <f>+[2]IDP!F22</f>
        <v>1</v>
      </c>
      <c r="N22" s="61">
        <v>0.1</v>
      </c>
      <c r="O22" s="61">
        <v>0.277777777</v>
      </c>
    </row>
    <row r="23" spans="1:15" ht="15.75" customHeight="1" outlineLevel="1" x14ac:dyDescent="0.25">
      <c r="A23" s="8">
        <f>+A22+1</f>
        <v>152</v>
      </c>
      <c r="B23" s="41" t="s">
        <v>1531</v>
      </c>
      <c r="C23" s="292" t="s">
        <v>950</v>
      </c>
      <c r="D23" s="42" t="s">
        <v>1532</v>
      </c>
      <c r="E23" s="43" t="s">
        <v>10</v>
      </c>
      <c r="F23" s="190">
        <v>1</v>
      </c>
      <c r="G23" s="355" t="s">
        <v>1537</v>
      </c>
      <c r="H23" s="44" t="s">
        <v>1583</v>
      </c>
      <c r="I23" s="191"/>
      <c r="K23" s="190">
        <f>+[2]IDP!F23</f>
        <v>1</v>
      </c>
      <c r="N23" s="61">
        <v>0.5</v>
      </c>
      <c r="O23" s="61">
        <v>0.1111</v>
      </c>
    </row>
    <row r="24" spans="1:15" outlineLevel="1" x14ac:dyDescent="0.25">
      <c r="A24" s="8">
        <f t="shared" si="1"/>
        <v>153</v>
      </c>
      <c r="B24" s="41" t="s">
        <v>1531</v>
      </c>
      <c r="C24" s="291" t="s">
        <v>950</v>
      </c>
      <c r="D24" s="42" t="s">
        <v>1533</v>
      </c>
      <c r="E24" s="43" t="s">
        <v>1535</v>
      </c>
      <c r="F24" s="190">
        <v>1</v>
      </c>
      <c r="G24" s="356"/>
      <c r="H24" s="44" t="s">
        <v>1583</v>
      </c>
      <c r="I24" s="191"/>
      <c r="K24" s="190">
        <f>+[2]IDP!F24</f>
        <v>1</v>
      </c>
      <c r="N24" s="61">
        <v>0.5</v>
      </c>
      <c r="O24" s="61">
        <v>0.1111</v>
      </c>
    </row>
    <row r="25" spans="1:15" ht="31.5" outlineLevel="1" x14ac:dyDescent="0.25">
      <c r="A25" s="8">
        <f t="shared" si="1"/>
        <v>154</v>
      </c>
      <c r="B25" s="41" t="s">
        <v>1531</v>
      </c>
      <c r="C25" s="296" t="s">
        <v>950</v>
      </c>
      <c r="D25" s="42" t="s">
        <v>1534</v>
      </c>
      <c r="E25" s="282" t="s">
        <v>1536</v>
      </c>
      <c r="F25" s="190" t="s">
        <v>142</v>
      </c>
      <c r="G25" s="356"/>
      <c r="H25" s="44"/>
      <c r="I25" s="191"/>
      <c r="K25" s="190" t="str">
        <f>+[2]IDP!F25</f>
        <v>N/A</v>
      </c>
      <c r="N25" s="61">
        <v>0</v>
      </c>
      <c r="O25" s="61">
        <v>0.1111</v>
      </c>
    </row>
    <row r="26" spans="1:15" ht="46.5" customHeight="1" outlineLevel="1" x14ac:dyDescent="0.25">
      <c r="A26" s="8">
        <f>+A25+1</f>
        <v>155</v>
      </c>
      <c r="B26" s="41" t="s">
        <v>1539</v>
      </c>
      <c r="C26" s="291" t="s">
        <v>1540</v>
      </c>
      <c r="D26" s="42" t="s">
        <v>1541</v>
      </c>
      <c r="E26" s="43" t="s">
        <v>1543</v>
      </c>
      <c r="F26" s="190">
        <v>0</v>
      </c>
      <c r="G26" s="355" t="s">
        <v>1545</v>
      </c>
      <c r="H26" s="44"/>
      <c r="I26" s="191" t="s">
        <v>1780</v>
      </c>
      <c r="K26" s="190">
        <f>+[2]IDP!F26</f>
        <v>0</v>
      </c>
      <c r="N26" s="61">
        <v>0.5</v>
      </c>
      <c r="O26" s="61">
        <v>5.5599999999999997E-2</v>
      </c>
    </row>
    <row r="27" spans="1:15" ht="31.5" outlineLevel="1" x14ac:dyDescent="0.25">
      <c r="A27" s="8">
        <f t="shared" si="1"/>
        <v>156</v>
      </c>
      <c r="B27" s="41" t="s">
        <v>1539</v>
      </c>
      <c r="C27" s="296" t="s">
        <v>1540</v>
      </c>
      <c r="D27" s="42" t="s">
        <v>1542</v>
      </c>
      <c r="E27" s="43" t="s">
        <v>1544</v>
      </c>
      <c r="F27" s="190">
        <v>0</v>
      </c>
      <c r="G27" s="357"/>
      <c r="H27" s="44"/>
      <c r="I27" s="191"/>
      <c r="K27" s="190">
        <f>+[2]IDP!F27</f>
        <v>0</v>
      </c>
      <c r="N27" s="61">
        <v>0.5</v>
      </c>
      <c r="O27" s="61">
        <v>5.5599999999999997E-2</v>
      </c>
    </row>
    <row r="28" spans="1:15" ht="15.75" customHeight="1" outlineLevel="1" x14ac:dyDescent="0.25">
      <c r="A28" s="8">
        <f>+A27+1</f>
        <v>157</v>
      </c>
      <c r="B28" s="41" t="s">
        <v>1546</v>
      </c>
      <c r="C28" s="291" t="s">
        <v>1547</v>
      </c>
      <c r="D28" s="42" t="s">
        <v>1548</v>
      </c>
      <c r="E28" s="43" t="s">
        <v>1550</v>
      </c>
      <c r="F28" s="190">
        <v>1</v>
      </c>
      <c r="G28" s="355" t="s">
        <v>1552</v>
      </c>
      <c r="H28" s="44"/>
      <c r="I28" s="191"/>
      <c r="K28" s="190">
        <f>+[2]IDP!F28</f>
        <v>1</v>
      </c>
      <c r="N28" s="61">
        <v>0.5</v>
      </c>
      <c r="O28" s="61">
        <v>0.33329999999999999</v>
      </c>
    </row>
    <row r="29" spans="1:15" outlineLevel="1" x14ac:dyDescent="0.25">
      <c r="A29" s="8">
        <f t="shared" si="1"/>
        <v>158</v>
      </c>
      <c r="B29" s="41" t="s">
        <v>1546</v>
      </c>
      <c r="C29" s="296" t="s">
        <v>1547</v>
      </c>
      <c r="D29" s="42" t="s">
        <v>1549</v>
      </c>
      <c r="E29" s="43" t="s">
        <v>1551</v>
      </c>
      <c r="F29" s="190">
        <v>1</v>
      </c>
      <c r="G29" s="357"/>
      <c r="H29" s="44"/>
      <c r="I29" s="191"/>
      <c r="K29" s="190">
        <f>+[2]IDP!F29</f>
        <v>1</v>
      </c>
      <c r="N29" s="61">
        <v>0.5</v>
      </c>
      <c r="O29" s="61">
        <v>0.33329999999999999</v>
      </c>
    </row>
    <row r="30" spans="1:15" ht="15.75" customHeight="1" outlineLevel="1" x14ac:dyDescent="0.25">
      <c r="A30" s="8">
        <f>+A29+1</f>
        <v>159</v>
      </c>
      <c r="B30" s="41" t="s">
        <v>1554</v>
      </c>
      <c r="C30" s="291" t="s">
        <v>1553</v>
      </c>
      <c r="D30" s="42" t="s">
        <v>1555</v>
      </c>
      <c r="E30" s="43" t="s">
        <v>1557</v>
      </c>
      <c r="F30" s="190">
        <v>1</v>
      </c>
      <c r="G30" s="355" t="s">
        <v>1559</v>
      </c>
      <c r="H30" s="44"/>
      <c r="I30" s="191"/>
      <c r="K30" s="190">
        <f>+[2]IDP!F30</f>
        <v>0</v>
      </c>
      <c r="N30" s="61">
        <v>0.5</v>
      </c>
      <c r="O30" s="61">
        <v>5.5599999999999997E-2</v>
      </c>
    </row>
    <row r="31" spans="1:15" outlineLevel="1" x14ac:dyDescent="0.25">
      <c r="A31" s="8">
        <f t="shared" si="1"/>
        <v>160</v>
      </c>
      <c r="B31" s="41" t="s">
        <v>1554</v>
      </c>
      <c r="C31" s="296" t="s">
        <v>1553</v>
      </c>
      <c r="D31" s="42" t="s">
        <v>1556</v>
      </c>
      <c r="E31" s="43" t="s">
        <v>1558</v>
      </c>
      <c r="F31" s="190">
        <v>1</v>
      </c>
      <c r="G31" s="357"/>
      <c r="H31" s="44"/>
      <c r="I31" s="191"/>
      <c r="K31" s="190">
        <f>+[2]IDP!F31</f>
        <v>1</v>
      </c>
      <c r="N31" s="61">
        <v>0.5</v>
      </c>
      <c r="O31" s="61">
        <v>5.5599999999999997E-2</v>
      </c>
    </row>
    <row r="33" spans="1:15" ht="36.75" customHeight="1" x14ac:dyDescent="0.25">
      <c r="B33" s="283">
        <v>19</v>
      </c>
      <c r="C33" s="289" t="s">
        <v>1315</v>
      </c>
      <c r="D33" s="284"/>
      <c r="E33" s="285"/>
      <c r="F33" s="286">
        <f>SUMPRODUCT(F34:F40,N34:N40,O34:O40)</f>
        <v>0.99999999999999989</v>
      </c>
      <c r="G33" s="287"/>
      <c r="H33" s="287"/>
      <c r="I33" s="288"/>
      <c r="K33" s="286">
        <f>SUMPRODUCT(K34:K40,N34:N40,O34:O40)</f>
        <v>0.99999999999999989</v>
      </c>
      <c r="N33" s="60">
        <f>+[1]MATRIZ!$G$26</f>
        <v>0.25</v>
      </c>
      <c r="O33" s="278">
        <f>+N33*F33</f>
        <v>0.24999999999999997</v>
      </c>
    </row>
    <row r="34" spans="1:15" ht="15.75" customHeight="1" outlineLevel="1" x14ac:dyDescent="0.25">
      <c r="A34" s="8">
        <f>+A31+1</f>
        <v>161</v>
      </c>
      <c r="B34" s="41" t="s">
        <v>1561</v>
      </c>
      <c r="C34" s="292" t="s">
        <v>1560</v>
      </c>
      <c r="D34" s="42" t="s">
        <v>1564</v>
      </c>
      <c r="E34" s="43" t="s">
        <v>93</v>
      </c>
      <c r="F34" s="190">
        <v>1</v>
      </c>
      <c r="G34" s="355" t="s">
        <v>1567</v>
      </c>
      <c r="H34" s="44"/>
      <c r="I34" s="191"/>
      <c r="K34" s="190">
        <f>+[2]IDP!F34</f>
        <v>1</v>
      </c>
      <c r="N34" s="61">
        <v>0.4</v>
      </c>
      <c r="O34" s="61">
        <v>0.7</v>
      </c>
    </row>
    <row r="35" spans="1:15" ht="31.5" outlineLevel="1" x14ac:dyDescent="0.25">
      <c r="A35" s="8">
        <f t="shared" ref="A35:A40" si="2">A34+1</f>
        <v>162</v>
      </c>
      <c r="B35" s="41" t="s">
        <v>1561</v>
      </c>
      <c r="C35" s="291" t="s">
        <v>1560</v>
      </c>
      <c r="D35" s="42" t="s">
        <v>1565</v>
      </c>
      <c r="E35" s="43" t="s">
        <v>1562</v>
      </c>
      <c r="F35" s="190">
        <v>1</v>
      </c>
      <c r="G35" s="356"/>
      <c r="H35" s="44"/>
      <c r="I35" s="191"/>
      <c r="K35" s="190">
        <f>+[2]IDP!F35</f>
        <v>1</v>
      </c>
      <c r="N35" s="61">
        <v>0.6</v>
      </c>
      <c r="O35" s="61">
        <v>0.7</v>
      </c>
    </row>
    <row r="36" spans="1:15" ht="31.5" outlineLevel="1" x14ac:dyDescent="0.25">
      <c r="A36" s="8">
        <f t="shared" si="2"/>
        <v>163</v>
      </c>
      <c r="B36" s="41" t="s">
        <v>1561</v>
      </c>
      <c r="C36" s="296" t="s">
        <v>1560</v>
      </c>
      <c r="D36" s="42" t="s">
        <v>1566</v>
      </c>
      <c r="E36" s="282" t="s">
        <v>1563</v>
      </c>
      <c r="F36" s="190" t="s">
        <v>142</v>
      </c>
      <c r="G36" s="357"/>
      <c r="H36" s="44"/>
      <c r="I36" s="191"/>
      <c r="K36" s="190" t="str">
        <f>+[2]IDP!F36</f>
        <v>N/A</v>
      </c>
      <c r="N36" s="61">
        <v>0</v>
      </c>
      <c r="O36" s="61">
        <v>0.7</v>
      </c>
    </row>
    <row r="37" spans="1:15" ht="15.75" customHeight="1" outlineLevel="1" x14ac:dyDescent="0.25">
      <c r="A37" s="8">
        <f t="shared" si="2"/>
        <v>164</v>
      </c>
      <c r="B37" s="41" t="s">
        <v>1568</v>
      </c>
      <c r="C37" s="292" t="s">
        <v>1569</v>
      </c>
      <c r="D37" s="42" t="s">
        <v>1574</v>
      </c>
      <c r="E37" s="43" t="s">
        <v>1570</v>
      </c>
      <c r="F37" s="190">
        <v>1</v>
      </c>
      <c r="G37" s="355" t="s">
        <v>1573</v>
      </c>
      <c r="H37" s="44"/>
      <c r="I37" s="191"/>
      <c r="K37" s="190">
        <f>+[2]IDP!F37</f>
        <v>1</v>
      </c>
      <c r="N37" s="61">
        <v>0.3</v>
      </c>
      <c r="O37" s="61">
        <v>0.3</v>
      </c>
    </row>
    <row r="38" spans="1:15" ht="15.75" customHeight="1" outlineLevel="1" x14ac:dyDescent="0.25">
      <c r="A38" s="8">
        <f t="shared" si="2"/>
        <v>165</v>
      </c>
      <c r="B38" s="41" t="s">
        <v>1568</v>
      </c>
      <c r="C38" s="292" t="s">
        <v>1569</v>
      </c>
      <c r="D38" s="42" t="s">
        <v>1575</v>
      </c>
      <c r="E38" s="43" t="s">
        <v>1571</v>
      </c>
      <c r="F38" s="190">
        <v>1</v>
      </c>
      <c r="G38" s="356"/>
      <c r="H38" s="44"/>
      <c r="I38" s="191"/>
      <c r="K38" s="190">
        <f>+[2]IDP!F38</f>
        <v>1</v>
      </c>
      <c r="N38" s="61">
        <v>0.3</v>
      </c>
      <c r="O38" s="61">
        <v>0.3</v>
      </c>
    </row>
    <row r="39" spans="1:15" outlineLevel="1" x14ac:dyDescent="0.25">
      <c r="A39" s="8">
        <f t="shared" si="2"/>
        <v>166</v>
      </c>
      <c r="B39" s="41" t="s">
        <v>1568</v>
      </c>
      <c r="C39" s="291" t="s">
        <v>1569</v>
      </c>
      <c r="D39" s="42" t="s">
        <v>1576</v>
      </c>
      <c r="E39" s="43" t="s">
        <v>11</v>
      </c>
      <c r="F39" s="190">
        <v>1</v>
      </c>
      <c r="G39" s="356"/>
      <c r="H39" s="44"/>
      <c r="I39" s="191"/>
      <c r="K39" s="190">
        <f>+[2]IDP!F39</f>
        <v>1</v>
      </c>
      <c r="N39" s="61">
        <v>0.4</v>
      </c>
      <c r="O39" s="61">
        <v>0.3</v>
      </c>
    </row>
    <row r="40" spans="1:15" ht="31.5" outlineLevel="1" x14ac:dyDescent="0.25">
      <c r="A40" s="8">
        <f t="shared" si="2"/>
        <v>167</v>
      </c>
      <c r="B40" s="41" t="s">
        <v>1568</v>
      </c>
      <c r="C40" s="296" t="s">
        <v>1569</v>
      </c>
      <c r="D40" s="42" t="s">
        <v>1577</v>
      </c>
      <c r="E40" s="282" t="s">
        <v>1572</v>
      </c>
      <c r="F40" s="190" t="s">
        <v>142</v>
      </c>
      <c r="G40" s="357"/>
      <c r="H40" s="44"/>
      <c r="I40" s="191"/>
      <c r="K40" s="190" t="str">
        <f>+[2]IDP!F40</f>
        <v>N/A</v>
      </c>
      <c r="N40" s="61">
        <v>0</v>
      </c>
      <c r="O40" s="61">
        <v>0.3</v>
      </c>
    </row>
    <row r="42" spans="1:15" ht="36.75" customHeight="1" x14ac:dyDescent="0.25">
      <c r="B42" s="283">
        <v>20</v>
      </c>
      <c r="C42" s="289" t="s">
        <v>1335</v>
      </c>
      <c r="D42" s="284"/>
      <c r="E42" s="287"/>
      <c r="F42" s="286">
        <f>SUMPRODUCT(F43:F47,N43:N47,O43:O47)</f>
        <v>1</v>
      </c>
      <c r="G42" s="287"/>
      <c r="H42" s="287"/>
      <c r="I42" s="288"/>
      <c r="K42" s="286">
        <f>SUMPRODUCT(K43:K47,N43:N47,O43:O47)</f>
        <v>1</v>
      </c>
      <c r="N42" s="60">
        <f>+[1]MATRIZ!$G$27</f>
        <v>0.15</v>
      </c>
      <c r="O42" s="278">
        <f>+N42*F42</f>
        <v>0.15</v>
      </c>
    </row>
    <row r="43" spans="1:15" ht="26.25" customHeight="1" outlineLevel="1" x14ac:dyDescent="0.25">
      <c r="A43" s="8">
        <f>+A40+1</f>
        <v>168</v>
      </c>
      <c r="B43" s="41" t="s">
        <v>1578</v>
      </c>
      <c r="C43" s="291" t="s">
        <v>151</v>
      </c>
      <c r="D43" s="42" t="s">
        <v>1579</v>
      </c>
      <c r="E43" s="43" t="s">
        <v>1581</v>
      </c>
      <c r="F43" s="190">
        <v>1</v>
      </c>
      <c r="G43" s="355" t="s">
        <v>1582</v>
      </c>
      <c r="H43" s="44" t="s">
        <v>1590</v>
      </c>
      <c r="I43" s="191"/>
      <c r="K43" s="190">
        <f>+[2]IDP!F43</f>
        <v>1</v>
      </c>
      <c r="N43" s="61">
        <v>0.5</v>
      </c>
      <c r="O43" s="61">
        <v>0.4</v>
      </c>
    </row>
    <row r="44" spans="1:15" ht="26.25" customHeight="1" outlineLevel="1" x14ac:dyDescent="0.25">
      <c r="A44" s="8">
        <f t="shared" ref="A44:A46" si="3">A43+1</f>
        <v>169</v>
      </c>
      <c r="B44" s="41" t="s">
        <v>1578</v>
      </c>
      <c r="C44" s="296" t="s">
        <v>151</v>
      </c>
      <c r="D44" s="42" t="s">
        <v>1580</v>
      </c>
      <c r="E44" s="43" t="s">
        <v>12</v>
      </c>
      <c r="F44" s="190">
        <v>1</v>
      </c>
      <c r="G44" s="357"/>
      <c r="H44" s="44" t="s">
        <v>1590</v>
      </c>
      <c r="I44" s="191"/>
      <c r="K44" s="190">
        <f>+[2]IDP!F44</f>
        <v>1</v>
      </c>
      <c r="N44" s="61">
        <v>0.5</v>
      </c>
      <c r="O44" s="61">
        <v>0.4</v>
      </c>
    </row>
    <row r="45" spans="1:15" ht="26.25" customHeight="1" outlineLevel="1" x14ac:dyDescent="0.25">
      <c r="A45" s="8">
        <f>+A44+1</f>
        <v>170</v>
      </c>
      <c r="B45" s="41" t="s">
        <v>1584</v>
      </c>
      <c r="C45" s="291" t="s">
        <v>150</v>
      </c>
      <c r="D45" s="42" t="s">
        <v>1585</v>
      </c>
      <c r="E45" s="43" t="s">
        <v>1587</v>
      </c>
      <c r="F45" s="190">
        <v>1</v>
      </c>
      <c r="G45" s="355" t="s">
        <v>1589</v>
      </c>
      <c r="H45" s="44" t="s">
        <v>1629</v>
      </c>
      <c r="I45" s="191"/>
      <c r="K45" s="190">
        <f>+[2]IDP!F45</f>
        <v>1</v>
      </c>
      <c r="N45" s="61">
        <v>0.5</v>
      </c>
      <c r="O45" s="61">
        <v>0.4</v>
      </c>
    </row>
    <row r="46" spans="1:15" ht="26.25" customHeight="1" outlineLevel="1" x14ac:dyDescent="0.25">
      <c r="A46" s="8">
        <f t="shared" si="3"/>
        <v>171</v>
      </c>
      <c r="B46" s="41" t="s">
        <v>1584</v>
      </c>
      <c r="C46" s="296" t="str">
        <f>+C45</f>
        <v>DEVOLUCIONES DE PRODUCTOS NO APTOS</v>
      </c>
      <c r="D46" s="42" t="s">
        <v>1586</v>
      </c>
      <c r="E46" s="43" t="s">
        <v>1588</v>
      </c>
      <c r="F46" s="190">
        <v>1</v>
      </c>
      <c r="G46" s="357"/>
      <c r="H46" s="44" t="s">
        <v>1629</v>
      </c>
      <c r="I46" s="191"/>
      <c r="K46" s="190">
        <f>+[2]IDP!F46</f>
        <v>1</v>
      </c>
      <c r="N46" s="61">
        <v>0.5</v>
      </c>
      <c r="O46" s="61">
        <v>0.4</v>
      </c>
    </row>
    <row r="47" spans="1:15" ht="26.25" customHeight="1" outlineLevel="1" x14ac:dyDescent="0.25">
      <c r="A47" s="8">
        <f>+A46+1</f>
        <v>172</v>
      </c>
      <c r="B47" s="41" t="s">
        <v>1591</v>
      </c>
      <c r="C47" s="297" t="s">
        <v>1592</v>
      </c>
      <c r="D47" s="42" t="s">
        <v>1593</v>
      </c>
      <c r="E47" s="43" t="s">
        <v>303</v>
      </c>
      <c r="F47" s="190">
        <v>1</v>
      </c>
      <c r="G47" s="190"/>
      <c r="H47" s="44"/>
      <c r="I47" s="191"/>
      <c r="K47" s="190">
        <f>+[2]IDP!F47</f>
        <v>1</v>
      </c>
      <c r="N47" s="61">
        <v>1</v>
      </c>
      <c r="O47" s="61">
        <v>0.2</v>
      </c>
    </row>
    <row r="49" spans="1:15" ht="36.75" customHeight="1" x14ac:dyDescent="0.25">
      <c r="B49" s="283">
        <v>21</v>
      </c>
      <c r="C49" s="289" t="s">
        <v>1594</v>
      </c>
      <c r="D49" s="284"/>
      <c r="E49" s="287"/>
      <c r="F49" s="286">
        <f>SUMPRODUCT(F50:F56,N50:N56,O50:O56)</f>
        <v>1</v>
      </c>
      <c r="G49" s="287"/>
      <c r="H49" s="287"/>
      <c r="I49" s="288"/>
      <c r="K49" s="286">
        <f>SUMPRODUCT(K50:K56,N50:N56,O50:O56)</f>
        <v>0.88</v>
      </c>
      <c r="N49" s="60">
        <f>+[1]MATRIZ!$G$28</f>
        <v>0.1</v>
      </c>
      <c r="O49" s="278">
        <f>+N49*F49</f>
        <v>0.1</v>
      </c>
    </row>
    <row r="50" spans="1:15" ht="26.25" customHeight="1" outlineLevel="1" x14ac:dyDescent="0.25">
      <c r="A50" s="8">
        <f>+A47+1</f>
        <v>173</v>
      </c>
      <c r="B50" s="41" t="s">
        <v>1595</v>
      </c>
      <c r="C50" s="291" t="s">
        <v>1597</v>
      </c>
      <c r="D50" s="42" t="s">
        <v>1598</v>
      </c>
      <c r="E50" s="43" t="s">
        <v>1600</v>
      </c>
      <c r="F50" s="190">
        <v>1</v>
      </c>
      <c r="G50" s="355" t="s">
        <v>1602</v>
      </c>
      <c r="H50" s="44"/>
      <c r="I50" s="191" t="s">
        <v>1778</v>
      </c>
      <c r="K50" s="190" t="str">
        <f>+[2]IDP!F50</f>
        <v>N/A</v>
      </c>
      <c r="N50" s="61">
        <v>0.4</v>
      </c>
      <c r="O50" s="61">
        <v>0.3</v>
      </c>
    </row>
    <row r="51" spans="1:15" ht="26.25" customHeight="1" outlineLevel="1" x14ac:dyDescent="0.25">
      <c r="A51" s="8">
        <f t="shared" ref="A51:A56" si="4">A50+1</f>
        <v>174</v>
      </c>
      <c r="B51" s="41" t="s">
        <v>1596</v>
      </c>
      <c r="C51" s="296" t="str">
        <f>+C50</f>
        <v>RESIDUOS</v>
      </c>
      <c r="D51" s="42" t="s">
        <v>1599</v>
      </c>
      <c r="E51" s="43" t="s">
        <v>1601</v>
      </c>
      <c r="F51" s="190">
        <v>1</v>
      </c>
      <c r="G51" s="357"/>
      <c r="H51" s="44"/>
      <c r="I51" s="191"/>
      <c r="K51" s="190">
        <f>+[2]IDP!F51</f>
        <v>1</v>
      </c>
      <c r="N51" s="61">
        <v>0.6</v>
      </c>
      <c r="O51" s="61">
        <v>0.3</v>
      </c>
    </row>
    <row r="52" spans="1:15" ht="26.25" customHeight="1" outlineLevel="1" x14ac:dyDescent="0.25">
      <c r="A52" s="8">
        <f t="shared" si="4"/>
        <v>175</v>
      </c>
      <c r="B52" s="41" t="s">
        <v>1596</v>
      </c>
      <c r="C52" s="291" t="s">
        <v>1594</v>
      </c>
      <c r="D52" s="42" t="s">
        <v>1603</v>
      </c>
      <c r="E52" s="43" t="s">
        <v>1606</v>
      </c>
      <c r="F52" s="190">
        <v>1</v>
      </c>
      <c r="G52" s="355" t="s">
        <v>1608</v>
      </c>
      <c r="H52" s="44"/>
      <c r="I52" s="191"/>
      <c r="K52" s="190">
        <f>+[2]IDP!F52</f>
        <v>1</v>
      </c>
      <c r="N52" s="61">
        <v>0.4</v>
      </c>
      <c r="O52" s="61">
        <v>0.2</v>
      </c>
    </row>
    <row r="53" spans="1:15" ht="26.25" customHeight="1" outlineLevel="1" x14ac:dyDescent="0.25">
      <c r="A53" s="8">
        <f t="shared" si="4"/>
        <v>176</v>
      </c>
      <c r="B53" s="41" t="s">
        <v>1596</v>
      </c>
      <c r="C53" s="292" t="str">
        <f>+C52</f>
        <v>LIMPIEZA</v>
      </c>
      <c r="D53" s="42" t="s">
        <v>1604</v>
      </c>
      <c r="E53" s="43" t="s">
        <v>1607</v>
      </c>
      <c r="F53" s="190">
        <v>1</v>
      </c>
      <c r="G53" s="356"/>
      <c r="H53" s="44"/>
      <c r="I53" s="191"/>
      <c r="K53" s="190">
        <f>+[2]IDP!F53</f>
        <v>1</v>
      </c>
      <c r="N53" s="61">
        <v>0.3</v>
      </c>
      <c r="O53" s="61">
        <v>0.2</v>
      </c>
    </row>
    <row r="54" spans="1:15" ht="26.25" customHeight="1" outlineLevel="1" x14ac:dyDescent="0.25">
      <c r="A54" s="8">
        <f t="shared" si="4"/>
        <v>177</v>
      </c>
      <c r="B54" s="41" t="s">
        <v>1596</v>
      </c>
      <c r="C54" s="296" t="str">
        <f>+C53</f>
        <v>LIMPIEZA</v>
      </c>
      <c r="D54" s="42" t="s">
        <v>1605</v>
      </c>
      <c r="E54" s="43" t="s">
        <v>13</v>
      </c>
      <c r="F54" s="190">
        <v>1</v>
      </c>
      <c r="G54" s="357"/>
      <c r="H54" s="44"/>
      <c r="I54" s="191"/>
      <c r="K54" s="190">
        <f>+[2]IDP!F54</f>
        <v>1</v>
      </c>
      <c r="N54" s="61">
        <v>0.3</v>
      </c>
      <c r="O54" s="61">
        <v>0.2</v>
      </c>
    </row>
    <row r="55" spans="1:15" ht="26.25" customHeight="1" outlineLevel="1" x14ac:dyDescent="0.25">
      <c r="A55" s="8">
        <f t="shared" si="4"/>
        <v>178</v>
      </c>
      <c r="B55" s="41" t="s">
        <v>1610</v>
      </c>
      <c r="C55" s="291" t="s">
        <v>1609</v>
      </c>
      <c r="D55" s="42" t="s">
        <v>1611</v>
      </c>
      <c r="E55" s="43" t="s">
        <v>1613</v>
      </c>
      <c r="F55" s="190">
        <v>1</v>
      </c>
      <c r="G55" s="355" t="s">
        <v>1615</v>
      </c>
      <c r="H55" s="44"/>
      <c r="I55" s="191"/>
      <c r="K55" s="190">
        <f>+[2]IDP!F55</f>
        <v>1</v>
      </c>
      <c r="N55" s="61">
        <v>0.3</v>
      </c>
      <c r="O55" s="61">
        <v>0.5</v>
      </c>
    </row>
    <row r="56" spans="1:15" ht="26.25" customHeight="1" outlineLevel="1" x14ac:dyDescent="0.25">
      <c r="A56" s="8">
        <f t="shared" si="4"/>
        <v>179</v>
      </c>
      <c r="B56" s="41" t="s">
        <v>1610</v>
      </c>
      <c r="C56" s="296" t="str">
        <f>+C55</f>
        <v>PLANES DE LIMPIEZA</v>
      </c>
      <c r="D56" s="42" t="s">
        <v>1612</v>
      </c>
      <c r="E56" s="43" t="s">
        <v>1614</v>
      </c>
      <c r="F56" s="190">
        <v>1</v>
      </c>
      <c r="G56" s="357"/>
      <c r="H56" s="44"/>
      <c r="I56" s="191"/>
      <c r="K56" s="190">
        <f>+[2]IDP!F56</f>
        <v>1</v>
      </c>
      <c r="N56" s="61">
        <v>0.7</v>
      </c>
      <c r="O56" s="61">
        <v>0.5</v>
      </c>
    </row>
    <row r="58" spans="1:15" ht="36.75" customHeight="1" x14ac:dyDescent="0.25">
      <c r="B58" s="283">
        <v>22</v>
      </c>
      <c r="C58" s="289" t="s">
        <v>1616</v>
      </c>
      <c r="D58" s="284"/>
      <c r="E58" s="287"/>
      <c r="F58" s="286">
        <f>SUMPRODUCT(F59:F66,N59:N66,O59:O66)</f>
        <v>0.87999999999999989</v>
      </c>
      <c r="G58" s="287"/>
      <c r="H58" s="287"/>
      <c r="I58" s="288"/>
      <c r="K58" s="286">
        <f>SUMPRODUCT(K59:K66,N59:N66,O59:O66)</f>
        <v>0.99999999999999978</v>
      </c>
      <c r="N58" s="60">
        <f>+[1]MATRIZ!$G$29</f>
        <v>0.1</v>
      </c>
      <c r="O58" s="278">
        <f>+N58*F58</f>
        <v>8.7999999999999995E-2</v>
      </c>
    </row>
    <row r="59" spans="1:15" ht="31.5" outlineLevel="1" x14ac:dyDescent="0.25">
      <c r="A59" s="8">
        <f>+A56+1</f>
        <v>180</v>
      </c>
      <c r="B59" s="41" t="s">
        <v>1617</v>
      </c>
      <c r="C59" s="292" t="s">
        <v>152</v>
      </c>
      <c r="D59" s="42" t="s">
        <v>1618</v>
      </c>
      <c r="E59" s="43" t="s">
        <v>1623</v>
      </c>
      <c r="F59" s="190">
        <v>1</v>
      </c>
      <c r="G59" s="355" t="s">
        <v>1628</v>
      </c>
      <c r="H59" s="44" t="s">
        <v>1642</v>
      </c>
      <c r="I59" s="191"/>
      <c r="K59" s="190">
        <f>+[2]IDP!F59</f>
        <v>1</v>
      </c>
      <c r="N59" s="61">
        <v>0.2</v>
      </c>
      <c r="O59" s="61">
        <v>0.7</v>
      </c>
    </row>
    <row r="60" spans="1:15" ht="47.25" outlineLevel="1" x14ac:dyDescent="0.25">
      <c r="A60" s="8">
        <f t="shared" ref="A60:A66" si="5">A59+1</f>
        <v>181</v>
      </c>
      <c r="B60" s="41" t="s">
        <v>1617</v>
      </c>
      <c r="C60" s="291" t="s">
        <v>152</v>
      </c>
      <c r="D60" s="42" t="s">
        <v>1619</v>
      </c>
      <c r="E60" s="43" t="s">
        <v>1624</v>
      </c>
      <c r="F60" s="190">
        <v>1</v>
      </c>
      <c r="G60" s="356"/>
      <c r="H60" s="44" t="s">
        <v>1642</v>
      </c>
      <c r="I60" s="191"/>
      <c r="K60" s="190">
        <f>+[2]IDP!F60</f>
        <v>1</v>
      </c>
      <c r="N60" s="61">
        <v>0.3</v>
      </c>
      <c r="O60" s="61">
        <v>0.7</v>
      </c>
    </row>
    <row r="61" spans="1:15" ht="31.5" outlineLevel="1" x14ac:dyDescent="0.25">
      <c r="A61" s="8">
        <f t="shared" si="5"/>
        <v>182</v>
      </c>
      <c r="B61" s="41" t="s">
        <v>1617</v>
      </c>
      <c r="C61" s="292" t="s">
        <v>152</v>
      </c>
      <c r="D61" s="42" t="s">
        <v>1620</v>
      </c>
      <c r="E61" s="43" t="s">
        <v>1625</v>
      </c>
      <c r="F61" s="190">
        <v>1</v>
      </c>
      <c r="G61" s="356"/>
      <c r="H61" s="44" t="s">
        <v>1642</v>
      </c>
      <c r="I61" s="191"/>
      <c r="K61" s="190">
        <f>+[2]IDP!F61</f>
        <v>1</v>
      </c>
      <c r="N61" s="61">
        <v>0.3</v>
      </c>
      <c r="O61" s="61">
        <v>0.7</v>
      </c>
    </row>
    <row r="62" spans="1:15" outlineLevel="1" x14ac:dyDescent="0.25">
      <c r="A62" s="8">
        <f t="shared" si="5"/>
        <v>183</v>
      </c>
      <c r="B62" s="41" t="s">
        <v>1617</v>
      </c>
      <c r="C62" s="292" t="s">
        <v>152</v>
      </c>
      <c r="D62" s="42" t="s">
        <v>1621</v>
      </c>
      <c r="E62" s="43" t="s">
        <v>1626</v>
      </c>
      <c r="F62" s="190">
        <v>1</v>
      </c>
      <c r="G62" s="356"/>
      <c r="H62" s="44" t="s">
        <v>1642</v>
      </c>
      <c r="I62" s="191" t="s">
        <v>1775</v>
      </c>
      <c r="K62" s="190">
        <f>+[2]IDP!F62</f>
        <v>1</v>
      </c>
      <c r="N62" s="61">
        <v>0.1</v>
      </c>
      <c r="O62" s="61">
        <v>0.7</v>
      </c>
    </row>
    <row r="63" spans="1:15" ht="31.5" outlineLevel="1" x14ac:dyDescent="0.25">
      <c r="A63" s="8">
        <f t="shared" si="5"/>
        <v>184</v>
      </c>
      <c r="B63" s="41" t="s">
        <v>1617</v>
      </c>
      <c r="C63" s="296" t="s">
        <v>152</v>
      </c>
      <c r="D63" s="42" t="s">
        <v>1622</v>
      </c>
      <c r="E63" s="43" t="s">
        <v>1627</v>
      </c>
      <c r="F63" s="190">
        <v>1</v>
      </c>
      <c r="G63" s="357"/>
      <c r="H63" s="44" t="s">
        <v>1642</v>
      </c>
      <c r="I63" s="191" t="s">
        <v>1784</v>
      </c>
      <c r="K63" s="190">
        <f>+[2]IDP!F63</f>
        <v>1</v>
      </c>
      <c r="N63" s="61">
        <v>0.1</v>
      </c>
      <c r="O63" s="61">
        <v>0.7</v>
      </c>
    </row>
    <row r="64" spans="1:15" ht="31.5" outlineLevel="1" x14ac:dyDescent="0.25">
      <c r="A64" s="8">
        <f t="shared" si="5"/>
        <v>185</v>
      </c>
      <c r="B64" s="41" t="s">
        <v>1630</v>
      </c>
      <c r="C64" s="292" t="s">
        <v>1631</v>
      </c>
      <c r="D64" s="42" t="s">
        <v>1632</v>
      </c>
      <c r="E64" s="43" t="s">
        <v>14</v>
      </c>
      <c r="F64" s="190">
        <v>0</v>
      </c>
      <c r="G64" s="358" t="s">
        <v>1637</v>
      </c>
      <c r="H64" s="44"/>
      <c r="I64" s="191" t="s">
        <v>1768</v>
      </c>
      <c r="K64" s="190">
        <f>+[2]IDP!F64</f>
        <v>1</v>
      </c>
      <c r="N64" s="61">
        <v>0.4</v>
      </c>
      <c r="O64" s="61">
        <v>0.3</v>
      </c>
    </row>
    <row r="65" spans="1:15" ht="47.25" outlineLevel="1" x14ac:dyDescent="0.25">
      <c r="A65" s="8">
        <f t="shared" si="5"/>
        <v>186</v>
      </c>
      <c r="B65" s="41" t="s">
        <v>1630</v>
      </c>
      <c r="C65" s="291" t="s">
        <v>1631</v>
      </c>
      <c r="D65" s="42" t="s">
        <v>1633</v>
      </c>
      <c r="E65" s="43" t="s">
        <v>1635</v>
      </c>
      <c r="F65" s="190">
        <v>1</v>
      </c>
      <c r="G65" s="356"/>
      <c r="H65" s="44"/>
      <c r="I65" s="191"/>
      <c r="K65" s="190">
        <f>+[2]IDP!F65</f>
        <v>1</v>
      </c>
      <c r="N65" s="61">
        <v>0.4</v>
      </c>
      <c r="O65" s="61">
        <v>0.3</v>
      </c>
    </row>
    <row r="66" spans="1:15" outlineLevel="1" x14ac:dyDescent="0.25">
      <c r="A66" s="8">
        <f t="shared" si="5"/>
        <v>187</v>
      </c>
      <c r="B66" s="41" t="s">
        <v>1630</v>
      </c>
      <c r="C66" s="296" t="s">
        <v>1631</v>
      </c>
      <c r="D66" s="42" t="s">
        <v>1634</v>
      </c>
      <c r="E66" s="43" t="s">
        <v>1636</v>
      </c>
      <c r="F66" s="190">
        <v>1</v>
      </c>
      <c r="G66" s="357"/>
      <c r="H66" s="44"/>
      <c r="I66" s="191"/>
      <c r="K66" s="190">
        <f>+[2]IDP!F66</f>
        <v>1</v>
      </c>
      <c r="N66" s="61">
        <v>0.2</v>
      </c>
      <c r="O66" s="61">
        <v>0.3</v>
      </c>
    </row>
  </sheetData>
  <sheetProtection autoFilter="0"/>
  <protectedRanges>
    <protectedRange sqref="F9:F12 F15:F31 F34:F40 F43:F47 G47 F50:F56 F59:F66 K9:K12 K15:K31 K34:K40 K43:K47 K50:K56 K59:K66" name="Rango1"/>
  </protectedRanges>
  <autoFilter ref="A7:I8" xr:uid="{00000000-0009-0000-0000-000004000000}"/>
  <mergeCells count="17">
    <mergeCell ref="G15:G18"/>
    <mergeCell ref="G19:G22"/>
    <mergeCell ref="G23:G25"/>
    <mergeCell ref="G26:G27"/>
    <mergeCell ref="N5:O5"/>
    <mergeCell ref="G9:G12"/>
    <mergeCell ref="G52:G54"/>
    <mergeCell ref="G55:G56"/>
    <mergeCell ref="G59:G63"/>
    <mergeCell ref="G64:G66"/>
    <mergeCell ref="G28:G29"/>
    <mergeCell ref="G30:G31"/>
    <mergeCell ref="G34:G36"/>
    <mergeCell ref="G37:G40"/>
    <mergeCell ref="G50:G51"/>
    <mergeCell ref="G43:G44"/>
    <mergeCell ref="G45:G46"/>
  </mergeCells>
  <conditionalFormatting sqref="A1:A1048576">
    <cfRule type="duplicateValues" dxfId="233" priority="368"/>
  </conditionalFormatting>
  <conditionalFormatting sqref="F9:F12 K9:K12">
    <cfRule type="containsText" dxfId="232" priority="151" operator="containsText" text="0">
      <formula>NOT(ISERROR(SEARCH("0",F9)))</formula>
    </cfRule>
    <cfRule type="containsText" dxfId="231" priority="152" operator="containsText" text="1">
      <formula>NOT(ISERROR(SEARCH("1",F9)))</formula>
    </cfRule>
  </conditionalFormatting>
  <conditionalFormatting sqref="F9:F12">
    <cfRule type="containsText" dxfId="230" priority="150" operator="containsText" text="N/A">
      <formula>NOT(ISERROR(SEARCH("N/A",F9)))</formula>
    </cfRule>
    <cfRule type="containsText" dxfId="229" priority="149" operator="containsText" text="NA - 0">
      <formula>NOT(ISERROR(SEARCH("NA - 0",F9)))</formula>
    </cfRule>
    <cfRule type="containsText" dxfId="228" priority="148" operator="containsText" text="NA - 1">
      <formula>NOT(ISERROR(SEARCH("NA - 1",F9)))</formula>
    </cfRule>
  </conditionalFormatting>
  <conditionalFormatting sqref="F15:F31">
    <cfRule type="containsText" dxfId="227" priority="100" operator="containsText" text="1">
      <formula>NOT(ISERROR(SEARCH("1",F15)))</formula>
    </cfRule>
    <cfRule type="containsText" dxfId="226" priority="99" operator="containsText" text="0">
      <formula>NOT(ISERROR(SEARCH("0",F15)))</formula>
    </cfRule>
    <cfRule type="containsText" dxfId="225" priority="98" operator="containsText" text="N/A">
      <formula>NOT(ISERROR(SEARCH("N/A",F15)))</formula>
    </cfRule>
    <cfRule type="containsText" dxfId="224" priority="97" operator="containsText" text="NA - 0">
      <formula>NOT(ISERROR(SEARCH("NA - 0",F15)))</formula>
    </cfRule>
    <cfRule type="containsText" dxfId="223" priority="96" operator="containsText" text="NA - 1">
      <formula>NOT(ISERROR(SEARCH("NA - 1",F15)))</formula>
    </cfRule>
  </conditionalFormatting>
  <conditionalFormatting sqref="F34:F40">
    <cfRule type="containsText" dxfId="222" priority="70" operator="containsText" text="1">
      <formula>NOT(ISERROR(SEARCH("1",F34)))</formula>
    </cfRule>
    <cfRule type="containsText" dxfId="221" priority="69" operator="containsText" text="0">
      <formula>NOT(ISERROR(SEARCH("0",F34)))</formula>
    </cfRule>
    <cfRule type="containsText" dxfId="220" priority="68" operator="containsText" text="N/A">
      <formula>NOT(ISERROR(SEARCH("N/A",F34)))</formula>
    </cfRule>
    <cfRule type="containsText" dxfId="219" priority="67" operator="containsText" text="NA - 0">
      <formula>NOT(ISERROR(SEARCH("NA - 0",F34)))</formula>
    </cfRule>
    <cfRule type="containsText" dxfId="218" priority="66" operator="containsText" text="NA - 1">
      <formula>NOT(ISERROR(SEARCH("NA - 1",F34)))</formula>
    </cfRule>
  </conditionalFormatting>
  <conditionalFormatting sqref="F43:F47">
    <cfRule type="containsText" dxfId="217" priority="60" operator="containsText" text="1">
      <formula>NOT(ISERROR(SEARCH("1",F43)))</formula>
    </cfRule>
    <cfRule type="containsText" dxfId="216" priority="56" operator="containsText" text="NA - 1">
      <formula>NOT(ISERROR(SEARCH("NA - 1",F43)))</formula>
    </cfRule>
    <cfRule type="containsText" dxfId="215" priority="58" operator="containsText" text="N/A">
      <formula>NOT(ISERROR(SEARCH("N/A",F43)))</formula>
    </cfRule>
    <cfRule type="containsText" dxfId="214" priority="57" operator="containsText" text="NA - 0">
      <formula>NOT(ISERROR(SEARCH("NA - 0",F43)))</formula>
    </cfRule>
    <cfRule type="containsText" dxfId="213" priority="59" operator="containsText" text="0">
      <formula>NOT(ISERROR(SEARCH("0",F43)))</formula>
    </cfRule>
  </conditionalFormatting>
  <conditionalFormatting sqref="F50:F56">
    <cfRule type="containsText" dxfId="212" priority="40" operator="containsText" text="N/A">
      <formula>NOT(ISERROR(SEARCH("N/A",F50)))</formula>
    </cfRule>
    <cfRule type="containsText" dxfId="211" priority="42" operator="containsText" text="1">
      <formula>NOT(ISERROR(SEARCH("1",F50)))</formula>
    </cfRule>
    <cfRule type="containsText" dxfId="210" priority="41" operator="containsText" text="0">
      <formula>NOT(ISERROR(SEARCH("0",F50)))</formula>
    </cfRule>
    <cfRule type="containsText" dxfId="209" priority="38" operator="containsText" text="NA - 1">
      <formula>NOT(ISERROR(SEARCH("NA - 1",F50)))</formula>
    </cfRule>
    <cfRule type="containsText" dxfId="208" priority="39" operator="containsText" text="NA - 0">
      <formula>NOT(ISERROR(SEARCH("NA - 0",F50)))</formula>
    </cfRule>
  </conditionalFormatting>
  <conditionalFormatting sqref="F59:F66">
    <cfRule type="containsText" dxfId="207" priority="25" operator="containsText" text="1">
      <formula>NOT(ISERROR(SEARCH("1",F59)))</formula>
    </cfRule>
    <cfRule type="containsText" dxfId="206" priority="24" operator="containsText" text="0">
      <formula>NOT(ISERROR(SEARCH("0",F59)))</formula>
    </cfRule>
    <cfRule type="containsText" dxfId="205" priority="23" operator="containsText" text="N/A">
      <formula>NOT(ISERROR(SEARCH("N/A",F59)))</formula>
    </cfRule>
    <cfRule type="containsText" dxfId="204" priority="22" operator="containsText" text="NA - 0">
      <formula>NOT(ISERROR(SEARCH("NA - 0",F59)))</formula>
    </cfRule>
    <cfRule type="containsText" dxfId="203" priority="21" operator="containsText" text="NA - 1">
      <formula>NOT(ISERROR(SEARCH("NA - 1",F59)))</formula>
    </cfRule>
  </conditionalFormatting>
  <conditionalFormatting sqref="G47">
    <cfRule type="containsText" dxfId="202" priority="44" operator="containsText" text="NA - 0">
      <formula>NOT(ISERROR(SEARCH("NA - 0",G47)))</formula>
    </cfRule>
    <cfRule type="containsText" dxfId="201" priority="43" operator="containsText" text="NA - 1">
      <formula>NOT(ISERROR(SEARCH("NA - 1",G47)))</formula>
    </cfRule>
    <cfRule type="containsText" dxfId="200" priority="46" operator="containsText" text="0">
      <formula>NOT(ISERROR(SEARCH("0",G47)))</formula>
    </cfRule>
    <cfRule type="containsText" dxfId="199" priority="47" operator="containsText" text="1">
      <formula>NOT(ISERROR(SEARCH("1",G47)))</formula>
    </cfRule>
    <cfRule type="containsText" dxfId="198" priority="45" operator="containsText" text="N/A">
      <formula>NOT(ISERROR(SEARCH("N/A",G47)))</formula>
    </cfRule>
  </conditionalFormatting>
  <conditionalFormatting sqref="K15:K31">
    <cfRule type="containsText" dxfId="197" priority="10" operator="containsText" text="1">
      <formula>NOT(ISERROR(SEARCH("1",K15)))</formula>
    </cfRule>
    <cfRule type="containsText" dxfId="196" priority="9" operator="containsText" text="0">
      <formula>NOT(ISERROR(SEARCH("0",K15)))</formula>
    </cfRule>
  </conditionalFormatting>
  <conditionalFormatting sqref="K34:K40">
    <cfRule type="containsText" dxfId="195" priority="8" operator="containsText" text="1">
      <formula>NOT(ISERROR(SEARCH("1",K34)))</formula>
    </cfRule>
    <cfRule type="containsText" dxfId="194" priority="7" operator="containsText" text="0">
      <formula>NOT(ISERROR(SEARCH("0",K34)))</formula>
    </cfRule>
  </conditionalFormatting>
  <conditionalFormatting sqref="K43:K47">
    <cfRule type="containsText" dxfId="193" priority="5" operator="containsText" text="0">
      <formula>NOT(ISERROR(SEARCH("0",K43)))</formula>
    </cfRule>
    <cfRule type="containsText" dxfId="192" priority="6" operator="containsText" text="1">
      <formula>NOT(ISERROR(SEARCH("1",K43)))</formula>
    </cfRule>
  </conditionalFormatting>
  <conditionalFormatting sqref="K50:K56">
    <cfRule type="containsText" dxfId="191" priority="4" operator="containsText" text="1">
      <formula>NOT(ISERROR(SEARCH("1",K50)))</formula>
    </cfRule>
    <cfRule type="containsText" dxfId="190" priority="3" operator="containsText" text="0">
      <formula>NOT(ISERROR(SEARCH("0",K50)))</formula>
    </cfRule>
  </conditionalFormatting>
  <conditionalFormatting sqref="K59:K66">
    <cfRule type="containsText" dxfId="189" priority="1" operator="containsText" text="0">
      <formula>NOT(ISERROR(SEARCH("0",K59)))</formula>
    </cfRule>
    <cfRule type="containsText" dxfId="188" priority="2" operator="containsText" text="1">
      <formula>NOT(ISERROR(SEARCH("1",K59)))</formula>
    </cfRule>
  </conditionalFormatting>
  <dataValidations count="2">
    <dataValidation type="list" showErrorMessage="1" sqref="K43:K47 K50:K56 K9:K12 K15:K31 K34:K40 K59:K66" xr:uid="{B664D7CC-A3E6-4C00-B505-EF0D1D6F15BA}">
      <formula1>$Z$1:$Z$3</formula1>
    </dataValidation>
    <dataValidation type="list" showErrorMessage="1" sqref="F9:F12 F15:F31 F34:F40 F43:F47 G47 F50:F56 F59:F66" xr:uid="{75429B74-4EF4-47C7-9A2C-2AC972179ED1}">
      <formula1>$Z$1:$Z$5</formula1>
    </dataValidation>
  </dataValidations>
  <pageMargins left="0.7" right="0.7" top="0.75" bottom="0.75" header="0.3" footer="0.3"/>
  <pageSetup paperSize="9" orientation="portrait" r:id="rId1"/>
  <ignoredErrors>
    <ignoredError sqref="A23:A26 A19" 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92D1D-12DF-49B1-ACE0-EC8B28975161}">
  <sheetPr>
    <tabColor theme="6" tint="-0.249977111117893"/>
    <pageSetUpPr fitToPage="1"/>
  </sheetPr>
  <dimension ref="A1:I192"/>
  <sheetViews>
    <sheetView showGridLines="0" zoomScale="85" zoomScaleNormal="85" workbookViewId="0">
      <pane xSplit="1" ySplit="1" topLeftCell="B52" activePane="bottomRight" state="frozen"/>
      <selection sqref="A1:I58"/>
      <selection pane="topRight" sqref="A1:I58"/>
      <selection pane="bottomLeft" sqref="A1:I58"/>
      <selection pane="bottomRight" sqref="A1:I58"/>
    </sheetView>
  </sheetViews>
  <sheetFormatPr baseColWidth="10" defaultColWidth="10" defaultRowHeight="12.75" x14ac:dyDescent="0.25"/>
  <cols>
    <col min="1" max="1" width="8.125" style="350" bestFit="1" customWidth="1"/>
    <col min="2" max="2" width="14" style="350" customWidth="1"/>
    <col min="3" max="3" width="18.125" style="345" customWidth="1"/>
    <col min="4" max="4" width="7.5" style="345" customWidth="1"/>
    <col min="5" max="5" width="28.625" style="345" customWidth="1"/>
    <col min="6" max="6" width="54.625" style="345" customWidth="1"/>
    <col min="7" max="7" width="6" style="345" bestFit="1" customWidth="1"/>
    <col min="8" max="8" width="54.625" style="339" customWidth="1"/>
    <col min="9" max="16384" width="10" style="345"/>
  </cols>
  <sheetData>
    <row r="1" spans="1:9" s="339" customFormat="1" ht="43.15" customHeight="1" x14ac:dyDescent="0.25">
      <c r="A1" s="336" t="s">
        <v>1663</v>
      </c>
      <c r="B1" s="337" t="s">
        <v>1664</v>
      </c>
      <c r="C1" s="337" t="s">
        <v>857</v>
      </c>
      <c r="D1" s="337" t="s">
        <v>1725</v>
      </c>
      <c r="E1" s="337" t="s">
        <v>1242</v>
      </c>
      <c r="F1" s="337" t="s">
        <v>1757</v>
      </c>
      <c r="G1" s="337" t="s">
        <v>1724</v>
      </c>
      <c r="H1" s="338" t="s">
        <v>118</v>
      </c>
    </row>
    <row r="2" spans="1:9" hidden="1" x14ac:dyDescent="0.25">
      <c r="A2" s="407" t="s">
        <v>1638</v>
      </c>
      <c r="B2" s="408" t="s">
        <v>1237</v>
      </c>
      <c r="C2" s="404" t="s">
        <v>1238</v>
      </c>
      <c r="D2" s="404"/>
      <c r="E2" s="404" t="s">
        <v>1243</v>
      </c>
      <c r="F2" s="404" t="s">
        <v>1063</v>
      </c>
      <c r="G2" s="343" t="s">
        <v>96</v>
      </c>
      <c r="H2" s="344" t="s">
        <v>1239</v>
      </c>
      <c r="I2" s="345">
        <f>COUNTA(G2:G188)</f>
        <v>187</v>
      </c>
    </row>
    <row r="3" spans="1:9" hidden="1" x14ac:dyDescent="0.25">
      <c r="A3" s="407"/>
      <c r="B3" s="408"/>
      <c r="C3" s="404"/>
      <c r="D3" s="404"/>
      <c r="E3" s="404"/>
      <c r="F3" s="404"/>
      <c r="G3" s="343" t="s">
        <v>97</v>
      </c>
      <c r="H3" s="344" t="s">
        <v>1240</v>
      </c>
    </row>
    <row r="4" spans="1:9" hidden="1" x14ac:dyDescent="0.25">
      <c r="A4" s="407"/>
      <c r="B4" s="408"/>
      <c r="C4" s="404"/>
      <c r="D4" s="404"/>
      <c r="E4" s="404"/>
      <c r="F4" s="404"/>
      <c r="G4" s="343" t="s">
        <v>519</v>
      </c>
      <c r="H4" s="344" t="s">
        <v>1241</v>
      </c>
    </row>
    <row r="5" spans="1:9" ht="25.5" hidden="1" x14ac:dyDescent="0.25">
      <c r="A5" s="407"/>
      <c r="B5" s="408"/>
      <c r="C5" s="404"/>
      <c r="D5" s="404"/>
      <c r="E5" s="404"/>
      <c r="F5" s="404"/>
      <c r="G5" s="343" t="s">
        <v>520</v>
      </c>
      <c r="H5" s="344" t="s">
        <v>51</v>
      </c>
    </row>
    <row r="6" spans="1:9" ht="51" hidden="1" x14ac:dyDescent="0.25">
      <c r="A6" s="340" t="s">
        <v>1638</v>
      </c>
      <c r="B6" s="341" t="s">
        <v>1237</v>
      </c>
      <c r="C6" s="342" t="s">
        <v>119</v>
      </c>
      <c r="D6" s="342" t="s">
        <v>1665</v>
      </c>
      <c r="E6" s="343" t="s">
        <v>1245</v>
      </c>
      <c r="F6" s="343" t="s">
        <v>1666</v>
      </c>
      <c r="G6" s="343" t="s">
        <v>98</v>
      </c>
      <c r="H6" s="344" t="s">
        <v>1667</v>
      </c>
    </row>
    <row r="7" spans="1:9" ht="12" hidden="1" customHeight="1" x14ac:dyDescent="0.25">
      <c r="A7" s="407" t="s">
        <v>1638</v>
      </c>
      <c r="B7" s="408" t="s">
        <v>1237</v>
      </c>
      <c r="C7" s="404" t="s">
        <v>1246</v>
      </c>
      <c r="D7" s="404"/>
      <c r="E7" s="409" t="s">
        <v>1668</v>
      </c>
      <c r="F7" s="409" t="s">
        <v>1669</v>
      </c>
      <c r="G7" s="343" t="s">
        <v>791</v>
      </c>
      <c r="H7" s="344" t="s">
        <v>1250</v>
      </c>
    </row>
    <row r="8" spans="1:9" ht="25.5" hidden="1" x14ac:dyDescent="0.25">
      <c r="A8" s="407"/>
      <c r="B8" s="408"/>
      <c r="C8" s="404"/>
      <c r="D8" s="404"/>
      <c r="E8" s="409"/>
      <c r="F8" s="409"/>
      <c r="G8" s="343" t="s">
        <v>1247</v>
      </c>
      <c r="H8" s="344" t="s">
        <v>1251</v>
      </c>
    </row>
    <row r="9" spans="1:9" hidden="1" x14ac:dyDescent="0.25">
      <c r="A9" s="407"/>
      <c r="B9" s="408"/>
      <c r="C9" s="404"/>
      <c r="D9" s="404"/>
      <c r="E9" s="409"/>
      <c r="F9" s="409"/>
      <c r="G9" s="343" t="s">
        <v>1248</v>
      </c>
      <c r="H9" s="344" t="s">
        <v>52</v>
      </c>
    </row>
    <row r="10" spans="1:9" hidden="1" x14ac:dyDescent="0.25">
      <c r="A10" s="407"/>
      <c r="B10" s="408"/>
      <c r="C10" s="404"/>
      <c r="D10" s="404"/>
      <c r="E10" s="409"/>
      <c r="F10" s="409"/>
      <c r="G10" s="343" t="s">
        <v>1249</v>
      </c>
      <c r="H10" s="344" t="s">
        <v>1252</v>
      </c>
    </row>
    <row r="11" spans="1:9" hidden="1" x14ac:dyDescent="0.25">
      <c r="A11" s="407" t="s">
        <v>1638</v>
      </c>
      <c r="B11" s="408" t="s">
        <v>1670</v>
      </c>
      <c r="C11" s="404" t="s">
        <v>1254</v>
      </c>
      <c r="D11" s="404"/>
      <c r="E11" s="409" t="s">
        <v>1260</v>
      </c>
      <c r="F11" s="409" t="s">
        <v>1671</v>
      </c>
      <c r="G11" s="343" t="s">
        <v>157</v>
      </c>
      <c r="H11" s="344" t="s">
        <v>1261</v>
      </c>
    </row>
    <row r="12" spans="1:9" hidden="1" x14ac:dyDescent="0.25">
      <c r="A12" s="407"/>
      <c r="B12" s="408"/>
      <c r="C12" s="404"/>
      <c r="D12" s="404"/>
      <c r="E12" s="409"/>
      <c r="F12" s="409"/>
      <c r="G12" s="343" t="s">
        <v>104</v>
      </c>
      <c r="H12" s="344" t="s">
        <v>1262</v>
      </c>
    </row>
    <row r="13" spans="1:9" ht="63.75" hidden="1" x14ac:dyDescent="0.25">
      <c r="A13" s="346" t="s">
        <v>1638</v>
      </c>
      <c r="B13" s="347" t="s">
        <v>1670</v>
      </c>
      <c r="C13" s="342" t="s">
        <v>1263</v>
      </c>
      <c r="D13" s="342" t="s">
        <v>1665</v>
      </c>
      <c r="E13" s="342" t="s">
        <v>1265</v>
      </c>
      <c r="F13" s="342" t="s">
        <v>1726</v>
      </c>
      <c r="G13" s="343" t="s">
        <v>108</v>
      </c>
      <c r="H13" s="344" t="s">
        <v>1264</v>
      </c>
    </row>
    <row r="14" spans="1:9" ht="12" hidden="1" customHeight="1" x14ac:dyDescent="0.25">
      <c r="A14" s="405" t="s">
        <v>1638</v>
      </c>
      <c r="B14" s="406" t="s">
        <v>1670</v>
      </c>
      <c r="C14" s="404" t="s">
        <v>1266</v>
      </c>
      <c r="D14" s="404"/>
      <c r="E14" s="404" t="s">
        <v>1270</v>
      </c>
      <c r="F14" s="404" t="s">
        <v>1727</v>
      </c>
      <c r="G14" s="343" t="s">
        <v>112</v>
      </c>
      <c r="H14" s="344" t="s">
        <v>1267</v>
      </c>
    </row>
    <row r="15" spans="1:9" ht="25.5" hidden="1" x14ac:dyDescent="0.25">
      <c r="A15" s="405"/>
      <c r="B15" s="406"/>
      <c r="C15" s="404"/>
      <c r="D15" s="404"/>
      <c r="E15" s="404"/>
      <c r="F15" s="404" t="s">
        <v>1728</v>
      </c>
      <c r="G15" s="343" t="s">
        <v>113</v>
      </c>
      <c r="H15" s="344" t="s">
        <v>1268</v>
      </c>
    </row>
    <row r="16" spans="1:9" hidden="1" x14ac:dyDescent="0.25">
      <c r="A16" s="405"/>
      <c r="B16" s="406"/>
      <c r="C16" s="404"/>
      <c r="D16" s="404"/>
      <c r="E16" s="404"/>
      <c r="F16" s="404" t="s">
        <v>1729</v>
      </c>
      <c r="G16" s="343" t="s">
        <v>114</v>
      </c>
      <c r="H16" s="344" t="s">
        <v>54</v>
      </c>
    </row>
    <row r="17" spans="1:8" ht="42" hidden="1" customHeight="1" x14ac:dyDescent="0.25">
      <c r="A17" s="405"/>
      <c r="B17" s="406"/>
      <c r="C17" s="404"/>
      <c r="D17" s="404"/>
      <c r="E17" s="404"/>
      <c r="F17" s="404" t="s">
        <v>1730</v>
      </c>
      <c r="G17" s="343" t="s">
        <v>115</v>
      </c>
      <c r="H17" s="344" t="s">
        <v>1269</v>
      </c>
    </row>
    <row r="18" spans="1:8" hidden="1" x14ac:dyDescent="0.25">
      <c r="A18" s="405" t="s">
        <v>1638</v>
      </c>
      <c r="B18" s="406" t="s">
        <v>1670</v>
      </c>
      <c r="C18" s="404" t="s">
        <v>1271</v>
      </c>
      <c r="D18" s="404"/>
      <c r="E18" s="404" t="s">
        <v>1274</v>
      </c>
      <c r="F18" s="404" t="s">
        <v>1671</v>
      </c>
      <c r="G18" s="343" t="s">
        <v>805</v>
      </c>
      <c r="H18" s="344" t="s">
        <v>1272</v>
      </c>
    </row>
    <row r="19" spans="1:8" ht="25.5" hidden="1" x14ac:dyDescent="0.25">
      <c r="A19" s="405"/>
      <c r="B19" s="406"/>
      <c r="C19" s="404"/>
      <c r="D19" s="404"/>
      <c r="E19" s="404"/>
      <c r="F19" s="404"/>
      <c r="G19" s="343" t="s">
        <v>806</v>
      </c>
      <c r="H19" s="344" t="s">
        <v>1273</v>
      </c>
    </row>
    <row r="20" spans="1:8" hidden="1" x14ac:dyDescent="0.25">
      <c r="A20" s="405"/>
      <c r="B20" s="406"/>
      <c r="C20" s="404"/>
      <c r="D20" s="404"/>
      <c r="E20" s="404"/>
      <c r="F20" s="404"/>
      <c r="G20" s="343" t="s">
        <v>807</v>
      </c>
      <c r="H20" s="344" t="s">
        <v>55</v>
      </c>
    </row>
    <row r="21" spans="1:8" hidden="1" x14ac:dyDescent="0.25">
      <c r="A21" s="405"/>
      <c r="B21" s="406"/>
      <c r="C21" s="404"/>
      <c r="D21" s="404"/>
      <c r="E21" s="404"/>
      <c r="F21" s="404"/>
      <c r="G21" s="343" t="s">
        <v>808</v>
      </c>
      <c r="H21" s="344" t="s">
        <v>56</v>
      </c>
    </row>
    <row r="22" spans="1:8" hidden="1" x14ac:dyDescent="0.25">
      <c r="A22" s="405" t="s">
        <v>1638</v>
      </c>
      <c r="B22" s="406" t="s">
        <v>1670</v>
      </c>
      <c r="C22" s="404" t="s">
        <v>1275</v>
      </c>
      <c r="D22" s="404"/>
      <c r="E22" s="404" t="s">
        <v>1276</v>
      </c>
      <c r="F22" s="404" t="s">
        <v>1671</v>
      </c>
      <c r="G22" s="343" t="s">
        <v>918</v>
      </c>
      <c r="H22" s="348" t="s">
        <v>57</v>
      </c>
    </row>
    <row r="23" spans="1:8" hidden="1" x14ac:dyDescent="0.25">
      <c r="A23" s="405"/>
      <c r="B23" s="406"/>
      <c r="C23" s="404"/>
      <c r="D23" s="404"/>
      <c r="E23" s="404"/>
      <c r="F23" s="404"/>
      <c r="G23" s="343" t="s">
        <v>919</v>
      </c>
      <c r="H23" s="348" t="s">
        <v>58</v>
      </c>
    </row>
    <row r="24" spans="1:8" hidden="1" x14ac:dyDescent="0.25">
      <c r="A24" s="405" t="s">
        <v>1638</v>
      </c>
      <c r="B24" s="406" t="s">
        <v>1670</v>
      </c>
      <c r="C24" s="404" t="s">
        <v>1278</v>
      </c>
      <c r="D24" s="404"/>
      <c r="E24" s="404" t="s">
        <v>1284</v>
      </c>
      <c r="F24" s="404" t="s">
        <v>1671</v>
      </c>
      <c r="G24" s="343" t="s">
        <v>1279</v>
      </c>
      <c r="H24" s="348" t="s">
        <v>1283</v>
      </c>
    </row>
    <row r="25" spans="1:8" hidden="1" x14ac:dyDescent="0.25">
      <c r="A25" s="405"/>
      <c r="B25" s="406"/>
      <c r="C25" s="404"/>
      <c r="D25" s="404"/>
      <c r="E25" s="404"/>
      <c r="F25" s="404"/>
      <c r="G25" s="343" t="s">
        <v>1280</v>
      </c>
      <c r="H25" s="348" t="s">
        <v>59</v>
      </c>
    </row>
    <row r="26" spans="1:8" hidden="1" x14ac:dyDescent="0.25">
      <c r="A26" s="405"/>
      <c r="B26" s="406"/>
      <c r="C26" s="404"/>
      <c r="D26" s="404"/>
      <c r="E26" s="404"/>
      <c r="F26" s="404"/>
      <c r="G26" s="343" t="s">
        <v>1281</v>
      </c>
      <c r="H26" s="348" t="s">
        <v>60</v>
      </c>
    </row>
    <row r="27" spans="1:8" ht="25.5" hidden="1" x14ac:dyDescent="0.25">
      <c r="A27" s="405"/>
      <c r="B27" s="406"/>
      <c r="C27" s="404"/>
      <c r="D27" s="404"/>
      <c r="E27" s="404"/>
      <c r="F27" s="404"/>
      <c r="G27" s="343" t="s">
        <v>1282</v>
      </c>
      <c r="H27" s="348" t="s">
        <v>61</v>
      </c>
    </row>
    <row r="28" spans="1:8" hidden="1" x14ac:dyDescent="0.25">
      <c r="A28" s="405" t="s">
        <v>1638</v>
      </c>
      <c r="B28" s="406" t="s">
        <v>1670</v>
      </c>
      <c r="C28" s="404" t="s">
        <v>1672</v>
      </c>
      <c r="D28" s="404"/>
      <c r="E28" s="404" t="s">
        <v>1290</v>
      </c>
      <c r="F28" s="404" t="s">
        <v>1673</v>
      </c>
      <c r="G28" s="343" t="s">
        <v>1286</v>
      </c>
      <c r="H28" s="344" t="s">
        <v>62</v>
      </c>
    </row>
    <row r="29" spans="1:8" ht="25.5" hidden="1" x14ac:dyDescent="0.25">
      <c r="A29" s="405"/>
      <c r="B29" s="406"/>
      <c r="C29" s="404"/>
      <c r="D29" s="404"/>
      <c r="E29" s="404"/>
      <c r="F29" s="404"/>
      <c r="G29" s="343" t="s">
        <v>1287</v>
      </c>
      <c r="H29" s="344" t="s">
        <v>1289</v>
      </c>
    </row>
    <row r="30" spans="1:8" ht="28.5" hidden="1" customHeight="1" x14ac:dyDescent="0.25">
      <c r="A30" s="405" t="s">
        <v>1638</v>
      </c>
      <c r="B30" s="406" t="s">
        <v>1291</v>
      </c>
      <c r="C30" s="404" t="s">
        <v>1292</v>
      </c>
      <c r="D30" s="404" t="s">
        <v>1665</v>
      </c>
      <c r="E30" s="404" t="s">
        <v>1674</v>
      </c>
      <c r="F30" s="404" t="s">
        <v>1731</v>
      </c>
      <c r="G30" s="343" t="s">
        <v>193</v>
      </c>
      <c r="H30" s="344" t="s">
        <v>1295</v>
      </c>
    </row>
    <row r="31" spans="1:8" ht="28.5" hidden="1" customHeight="1" x14ac:dyDescent="0.25">
      <c r="A31" s="405"/>
      <c r="B31" s="406"/>
      <c r="C31" s="404"/>
      <c r="D31" s="404"/>
      <c r="E31" s="404"/>
      <c r="F31" s="404" t="s">
        <v>1732</v>
      </c>
      <c r="G31" s="343" t="s">
        <v>1293</v>
      </c>
      <c r="H31" s="344" t="s">
        <v>1296</v>
      </c>
    </row>
    <row r="32" spans="1:8" ht="25.5" hidden="1" x14ac:dyDescent="0.25">
      <c r="A32" s="405" t="s">
        <v>1638</v>
      </c>
      <c r="B32" s="406" t="s">
        <v>1291</v>
      </c>
      <c r="C32" s="404" t="s">
        <v>1297</v>
      </c>
      <c r="D32" s="404"/>
      <c r="E32" s="404" t="s">
        <v>1300</v>
      </c>
      <c r="F32" s="404" t="s">
        <v>1733</v>
      </c>
      <c r="G32" s="343" t="s">
        <v>194</v>
      </c>
      <c r="H32" s="344" t="s">
        <v>1298</v>
      </c>
    </row>
    <row r="33" spans="1:8" hidden="1" x14ac:dyDescent="0.25">
      <c r="A33" s="405"/>
      <c r="B33" s="406"/>
      <c r="C33" s="404"/>
      <c r="D33" s="404"/>
      <c r="E33" s="404"/>
      <c r="F33" s="404"/>
      <c r="G33" s="343" t="s">
        <v>195</v>
      </c>
      <c r="H33" s="344" t="s">
        <v>1299</v>
      </c>
    </row>
    <row r="34" spans="1:8" hidden="1" x14ac:dyDescent="0.25">
      <c r="A34" s="405"/>
      <c r="B34" s="406"/>
      <c r="C34" s="404"/>
      <c r="D34" s="404"/>
      <c r="E34" s="404"/>
      <c r="F34" s="404"/>
      <c r="G34" s="343" t="s">
        <v>196</v>
      </c>
      <c r="H34" s="344" t="s">
        <v>123</v>
      </c>
    </row>
    <row r="35" spans="1:8" hidden="1" x14ac:dyDescent="0.25">
      <c r="A35" s="405"/>
      <c r="B35" s="406"/>
      <c r="C35" s="404"/>
      <c r="D35" s="404"/>
      <c r="E35" s="404"/>
      <c r="F35" s="404"/>
      <c r="G35" s="343" t="s">
        <v>197</v>
      </c>
      <c r="H35" s="344" t="s">
        <v>124</v>
      </c>
    </row>
    <row r="36" spans="1:8" ht="42" hidden="1" customHeight="1" x14ac:dyDescent="0.25">
      <c r="A36" s="405" t="s">
        <v>1638</v>
      </c>
      <c r="B36" s="406" t="s">
        <v>1291</v>
      </c>
      <c r="C36" s="404" t="s">
        <v>120</v>
      </c>
      <c r="D36" s="404"/>
      <c r="E36" s="404" t="s">
        <v>1306</v>
      </c>
      <c r="F36" s="404" t="s">
        <v>1734</v>
      </c>
      <c r="G36" s="343" t="s">
        <v>198</v>
      </c>
      <c r="H36" s="344" t="s">
        <v>1304</v>
      </c>
    </row>
    <row r="37" spans="1:8" ht="42" hidden="1" customHeight="1" x14ac:dyDescent="0.25">
      <c r="A37" s="405"/>
      <c r="B37" s="406"/>
      <c r="C37" s="404"/>
      <c r="D37" s="404"/>
      <c r="E37" s="404"/>
      <c r="F37" s="404"/>
      <c r="G37" s="343" t="s">
        <v>199</v>
      </c>
      <c r="H37" s="344" t="s">
        <v>63</v>
      </c>
    </row>
    <row r="38" spans="1:8" ht="42" hidden="1" customHeight="1" x14ac:dyDescent="0.25">
      <c r="A38" s="405"/>
      <c r="B38" s="406"/>
      <c r="C38" s="404"/>
      <c r="D38" s="404"/>
      <c r="E38" s="404"/>
      <c r="F38" s="404"/>
      <c r="G38" s="343" t="s">
        <v>200</v>
      </c>
      <c r="H38" s="344" t="s">
        <v>1305</v>
      </c>
    </row>
    <row r="39" spans="1:8" ht="24" hidden="1" customHeight="1" x14ac:dyDescent="0.25">
      <c r="A39" s="405" t="s">
        <v>1638</v>
      </c>
      <c r="B39" s="406" t="s">
        <v>1291</v>
      </c>
      <c r="C39" s="404" t="s">
        <v>121</v>
      </c>
      <c r="D39" s="404"/>
      <c r="E39" s="404" t="s">
        <v>1308</v>
      </c>
      <c r="F39" s="404" t="s">
        <v>1675</v>
      </c>
      <c r="G39" s="343" t="s">
        <v>198</v>
      </c>
      <c r="H39" s="344" t="s">
        <v>1307</v>
      </c>
    </row>
    <row r="40" spans="1:8" hidden="1" x14ac:dyDescent="0.25">
      <c r="A40" s="405"/>
      <c r="B40" s="406"/>
      <c r="C40" s="404"/>
      <c r="D40" s="404"/>
      <c r="E40" s="404"/>
      <c r="F40" s="404"/>
      <c r="G40" s="343" t="s">
        <v>199</v>
      </c>
      <c r="H40" s="344" t="s">
        <v>64</v>
      </c>
    </row>
    <row r="41" spans="1:8" hidden="1" x14ac:dyDescent="0.25">
      <c r="A41" s="405"/>
      <c r="B41" s="406"/>
      <c r="C41" s="404"/>
      <c r="D41" s="404"/>
      <c r="E41" s="404"/>
      <c r="F41" s="404"/>
      <c r="G41" s="343" t="s">
        <v>200</v>
      </c>
      <c r="H41" s="344" t="s">
        <v>65</v>
      </c>
    </row>
    <row r="42" spans="1:8" ht="24" hidden="1" customHeight="1" x14ac:dyDescent="0.25">
      <c r="A42" s="405" t="s">
        <v>1638</v>
      </c>
      <c r="B42" s="406" t="s">
        <v>1291</v>
      </c>
      <c r="C42" s="404" t="s">
        <v>122</v>
      </c>
      <c r="D42" s="404" t="s">
        <v>1665</v>
      </c>
      <c r="E42" s="404" t="s">
        <v>1676</v>
      </c>
      <c r="F42" s="404" t="s">
        <v>1677</v>
      </c>
      <c r="G42" s="343" t="s">
        <v>202</v>
      </c>
      <c r="H42" s="344" t="s">
        <v>66</v>
      </c>
    </row>
    <row r="43" spans="1:8" hidden="1" x14ac:dyDescent="0.25">
      <c r="A43" s="405"/>
      <c r="B43" s="406"/>
      <c r="C43" s="404"/>
      <c r="D43" s="404"/>
      <c r="E43" s="404"/>
      <c r="F43" s="404"/>
      <c r="G43" s="343" t="s">
        <v>203</v>
      </c>
      <c r="H43" s="344" t="s">
        <v>1311</v>
      </c>
    </row>
    <row r="44" spans="1:8" hidden="1" x14ac:dyDescent="0.25">
      <c r="A44" s="405"/>
      <c r="B44" s="406"/>
      <c r="C44" s="404"/>
      <c r="D44" s="404"/>
      <c r="E44" s="404"/>
      <c r="F44" s="404"/>
      <c r="G44" s="343" t="s">
        <v>1309</v>
      </c>
      <c r="H44" s="344" t="s">
        <v>1312</v>
      </c>
    </row>
    <row r="45" spans="1:8" hidden="1" x14ac:dyDescent="0.25">
      <c r="A45" s="405"/>
      <c r="B45" s="406"/>
      <c r="C45" s="404"/>
      <c r="D45" s="404"/>
      <c r="E45" s="404"/>
      <c r="F45" s="404"/>
      <c r="G45" s="343" t="s">
        <v>1310</v>
      </c>
      <c r="H45" s="344" t="s">
        <v>1313</v>
      </c>
    </row>
    <row r="46" spans="1:8" ht="25.5" hidden="1" x14ac:dyDescent="0.25">
      <c r="A46" s="346" t="s">
        <v>1638</v>
      </c>
      <c r="B46" s="347" t="s">
        <v>1315</v>
      </c>
      <c r="C46" s="342" t="s">
        <v>1678</v>
      </c>
      <c r="D46" s="342"/>
      <c r="E46" s="342" t="s">
        <v>1318</v>
      </c>
      <c r="F46" s="342" t="s">
        <v>1679</v>
      </c>
      <c r="G46" s="343" t="s">
        <v>245</v>
      </c>
      <c r="H46" s="344" t="s">
        <v>1317</v>
      </c>
    </row>
    <row r="47" spans="1:8" ht="25.5" hidden="1" x14ac:dyDescent="0.25">
      <c r="A47" s="405" t="s">
        <v>1638</v>
      </c>
      <c r="B47" s="406" t="s">
        <v>1319</v>
      </c>
      <c r="C47" s="404" t="s">
        <v>1320</v>
      </c>
      <c r="D47" s="404"/>
      <c r="E47" s="404" t="s">
        <v>1321</v>
      </c>
      <c r="F47" s="404" t="s">
        <v>1680</v>
      </c>
      <c r="G47" s="343" t="s">
        <v>268</v>
      </c>
      <c r="H47" s="344" t="s">
        <v>67</v>
      </c>
    </row>
    <row r="48" spans="1:8" ht="25.5" hidden="1" x14ac:dyDescent="0.25">
      <c r="A48" s="405"/>
      <c r="B48" s="406"/>
      <c r="C48" s="404"/>
      <c r="D48" s="404"/>
      <c r="E48" s="404"/>
      <c r="F48" s="404"/>
      <c r="G48" s="343" t="s">
        <v>269</v>
      </c>
      <c r="H48" s="344" t="s">
        <v>68</v>
      </c>
    </row>
    <row r="49" spans="1:8" hidden="1" x14ac:dyDescent="0.25">
      <c r="A49" s="405"/>
      <c r="B49" s="406"/>
      <c r="C49" s="404"/>
      <c r="D49" s="404"/>
      <c r="E49" s="404"/>
      <c r="F49" s="404"/>
      <c r="G49" s="343" t="s">
        <v>270</v>
      </c>
      <c r="H49" s="344" t="s">
        <v>69</v>
      </c>
    </row>
    <row r="50" spans="1:8" ht="63.75" hidden="1" x14ac:dyDescent="0.25">
      <c r="A50" s="346" t="s">
        <v>1638</v>
      </c>
      <c r="B50" s="347" t="s">
        <v>1319</v>
      </c>
      <c r="C50" s="342" t="s">
        <v>1323</v>
      </c>
      <c r="D50" s="342"/>
      <c r="E50" s="342" t="s">
        <v>1326</v>
      </c>
      <c r="F50" s="342" t="s">
        <v>1680</v>
      </c>
      <c r="G50" s="343" t="s">
        <v>1324</v>
      </c>
      <c r="H50" s="344" t="s">
        <v>1325</v>
      </c>
    </row>
    <row r="51" spans="1:8" ht="51" hidden="1" x14ac:dyDescent="0.25">
      <c r="A51" s="346" t="s">
        <v>1638</v>
      </c>
      <c r="B51" s="347" t="s">
        <v>1319</v>
      </c>
      <c r="C51" s="342" t="s">
        <v>1328</v>
      </c>
      <c r="D51" s="342"/>
      <c r="E51" s="342" t="s">
        <v>1331</v>
      </c>
      <c r="F51" s="342" t="s">
        <v>1680</v>
      </c>
      <c r="G51" s="343" t="s">
        <v>1329</v>
      </c>
      <c r="H51" s="344" t="s">
        <v>1330</v>
      </c>
    </row>
    <row r="52" spans="1:8" ht="38.25" x14ac:dyDescent="0.25">
      <c r="A52" s="405" t="s">
        <v>1639</v>
      </c>
      <c r="B52" s="406" t="s">
        <v>1332</v>
      </c>
      <c r="C52" s="404" t="s">
        <v>1681</v>
      </c>
      <c r="D52" s="404"/>
      <c r="E52" s="404" t="s">
        <v>1339</v>
      </c>
      <c r="F52" s="404" t="s">
        <v>1682</v>
      </c>
      <c r="G52" s="343" t="s">
        <v>125</v>
      </c>
      <c r="H52" s="344" t="s">
        <v>1683</v>
      </c>
    </row>
    <row r="53" spans="1:8" x14ac:dyDescent="0.25">
      <c r="A53" s="405"/>
      <c r="B53" s="406"/>
      <c r="C53" s="404"/>
      <c r="D53" s="404"/>
      <c r="E53" s="404"/>
      <c r="F53" s="404"/>
      <c r="G53" s="343" t="s">
        <v>126</v>
      </c>
      <c r="H53" s="344" t="s">
        <v>299</v>
      </c>
    </row>
    <row r="54" spans="1:8" ht="51" x14ac:dyDescent="0.25">
      <c r="A54" s="346" t="s">
        <v>1639</v>
      </c>
      <c r="B54" s="347" t="s">
        <v>1332</v>
      </c>
      <c r="C54" s="342" t="s">
        <v>1684</v>
      </c>
      <c r="D54" s="342"/>
      <c r="E54" s="342" t="s">
        <v>1685</v>
      </c>
      <c r="F54" s="342" t="s">
        <v>1686</v>
      </c>
      <c r="G54" s="343" t="s">
        <v>127</v>
      </c>
      <c r="H54" s="344" t="s">
        <v>1342</v>
      </c>
    </row>
    <row r="55" spans="1:8" ht="24" customHeight="1" x14ac:dyDescent="0.25">
      <c r="A55" s="405" t="s">
        <v>1639</v>
      </c>
      <c r="B55" s="406" t="s">
        <v>1332</v>
      </c>
      <c r="C55" s="404" t="s">
        <v>94</v>
      </c>
      <c r="D55" s="404" t="s">
        <v>1665</v>
      </c>
      <c r="E55" s="404" t="s">
        <v>1687</v>
      </c>
      <c r="F55" s="404" t="s">
        <v>1735</v>
      </c>
      <c r="G55" s="343" t="s">
        <v>128</v>
      </c>
      <c r="H55" s="344" t="s">
        <v>82</v>
      </c>
    </row>
    <row r="56" spans="1:8" ht="25.5" x14ac:dyDescent="0.25">
      <c r="A56" s="405"/>
      <c r="B56" s="406"/>
      <c r="C56" s="404"/>
      <c r="D56" s="404"/>
      <c r="E56" s="404"/>
      <c r="F56" s="404" t="s">
        <v>1737</v>
      </c>
      <c r="G56" s="343" t="s">
        <v>1344</v>
      </c>
      <c r="H56" s="344" t="s">
        <v>83</v>
      </c>
    </row>
    <row r="57" spans="1:8" x14ac:dyDescent="0.25">
      <c r="A57" s="405"/>
      <c r="B57" s="406"/>
      <c r="C57" s="404"/>
      <c r="D57" s="404"/>
      <c r="E57" s="404"/>
      <c r="F57" s="404" t="s">
        <v>1736</v>
      </c>
      <c r="G57" s="343" t="s">
        <v>1345</v>
      </c>
      <c r="H57" s="344" t="s">
        <v>84</v>
      </c>
    </row>
    <row r="58" spans="1:8" x14ac:dyDescent="0.25">
      <c r="A58" s="405"/>
      <c r="B58" s="406"/>
      <c r="C58" s="404"/>
      <c r="D58" s="404"/>
      <c r="E58" s="404"/>
      <c r="F58" s="404" t="s">
        <v>1738</v>
      </c>
      <c r="G58" s="343" t="s">
        <v>1346</v>
      </c>
      <c r="H58" s="344" t="s">
        <v>1347</v>
      </c>
    </row>
    <row r="59" spans="1:8" ht="51" x14ac:dyDescent="0.25">
      <c r="A59" s="346" t="s">
        <v>1639</v>
      </c>
      <c r="B59" s="347" t="s">
        <v>1332</v>
      </c>
      <c r="C59" s="342" t="s">
        <v>1688</v>
      </c>
      <c r="D59" s="342"/>
      <c r="E59" s="342" t="s">
        <v>1689</v>
      </c>
      <c r="F59" s="342" t="s">
        <v>1739</v>
      </c>
      <c r="G59" s="343" t="s">
        <v>129</v>
      </c>
      <c r="H59" s="344" t="s">
        <v>1351</v>
      </c>
    </row>
    <row r="60" spans="1:8" ht="25.5" x14ac:dyDescent="0.25">
      <c r="A60" s="405" t="s">
        <v>1639</v>
      </c>
      <c r="B60" s="406" t="s">
        <v>1291</v>
      </c>
      <c r="C60" s="404" t="s">
        <v>1690</v>
      </c>
      <c r="D60" s="404"/>
      <c r="E60" s="404" t="s">
        <v>1357</v>
      </c>
      <c r="F60" s="404" t="s">
        <v>1691</v>
      </c>
      <c r="G60" s="343" t="s">
        <v>377</v>
      </c>
      <c r="H60" s="344" t="s">
        <v>1354</v>
      </c>
    </row>
    <row r="61" spans="1:8" x14ac:dyDescent="0.25">
      <c r="A61" s="405"/>
      <c r="B61" s="406"/>
      <c r="C61" s="404"/>
      <c r="D61" s="404"/>
      <c r="E61" s="404"/>
      <c r="F61" s="404"/>
      <c r="G61" s="343" t="s">
        <v>1356</v>
      </c>
      <c r="H61" s="344" t="s">
        <v>1355</v>
      </c>
    </row>
    <row r="62" spans="1:8" ht="12" customHeight="1" x14ac:dyDescent="0.25">
      <c r="A62" s="405" t="s">
        <v>1639</v>
      </c>
      <c r="B62" s="406" t="s">
        <v>1291</v>
      </c>
      <c r="C62" s="404" t="s">
        <v>1692</v>
      </c>
      <c r="D62" s="404"/>
      <c r="E62" s="404" t="s">
        <v>1360</v>
      </c>
      <c r="F62" s="404" t="s">
        <v>1693</v>
      </c>
      <c r="G62" s="343" t="s">
        <v>379</v>
      </c>
      <c r="H62" s="344" t="s">
        <v>290</v>
      </c>
    </row>
    <row r="63" spans="1:8" ht="25.5" x14ac:dyDescent="0.25">
      <c r="A63" s="405"/>
      <c r="B63" s="406"/>
      <c r="C63" s="404"/>
      <c r="D63" s="404"/>
      <c r="E63" s="404"/>
      <c r="F63" s="404"/>
      <c r="G63" s="343" t="s">
        <v>414</v>
      </c>
      <c r="H63" s="344" t="s">
        <v>291</v>
      </c>
    </row>
    <row r="64" spans="1:8" x14ac:dyDescent="0.25">
      <c r="A64" s="405"/>
      <c r="B64" s="406"/>
      <c r="C64" s="404"/>
      <c r="D64" s="404"/>
      <c r="E64" s="404"/>
      <c r="F64" s="404"/>
      <c r="G64" s="343" t="s">
        <v>415</v>
      </c>
      <c r="H64" s="344" t="s">
        <v>1359</v>
      </c>
    </row>
    <row r="65" spans="1:8" ht="25.5" x14ac:dyDescent="0.25">
      <c r="A65" s="405" t="s">
        <v>1639</v>
      </c>
      <c r="B65" s="406" t="s">
        <v>1291</v>
      </c>
      <c r="C65" s="404" t="s">
        <v>1694</v>
      </c>
      <c r="D65" s="404"/>
      <c r="E65" s="404" t="s">
        <v>1363</v>
      </c>
      <c r="F65" s="404" t="s">
        <v>1127</v>
      </c>
      <c r="G65" s="343" t="s">
        <v>380</v>
      </c>
      <c r="H65" s="344" t="s">
        <v>294</v>
      </c>
    </row>
    <row r="66" spans="1:8" x14ac:dyDescent="0.25">
      <c r="A66" s="405"/>
      <c r="B66" s="406"/>
      <c r="C66" s="404"/>
      <c r="D66" s="404"/>
      <c r="E66" s="404"/>
      <c r="F66" s="404" t="s">
        <v>1740</v>
      </c>
      <c r="G66" s="343" t="s">
        <v>659</v>
      </c>
      <c r="H66" s="344" t="s">
        <v>295</v>
      </c>
    </row>
    <row r="67" spans="1:8" x14ac:dyDescent="0.25">
      <c r="A67" s="405"/>
      <c r="B67" s="406"/>
      <c r="C67" s="404"/>
      <c r="D67" s="404"/>
      <c r="E67" s="404"/>
      <c r="F67" s="404" t="s">
        <v>1741</v>
      </c>
      <c r="G67" s="343" t="s">
        <v>659</v>
      </c>
      <c r="H67" s="344" t="s">
        <v>1362</v>
      </c>
    </row>
    <row r="68" spans="1:8" ht="24" customHeight="1" x14ac:dyDescent="0.25">
      <c r="A68" s="405" t="s">
        <v>1639</v>
      </c>
      <c r="B68" s="406" t="s">
        <v>1695</v>
      </c>
      <c r="C68" s="404" t="s">
        <v>1364</v>
      </c>
      <c r="D68" s="404"/>
      <c r="E68" s="404" t="s">
        <v>1368</v>
      </c>
      <c r="F68" s="404" t="s">
        <v>1696</v>
      </c>
      <c r="G68" s="343" t="s">
        <v>387</v>
      </c>
      <c r="H68" s="344" t="s">
        <v>1365</v>
      </c>
    </row>
    <row r="69" spans="1:8" ht="25.5" x14ac:dyDescent="0.25">
      <c r="A69" s="405"/>
      <c r="B69" s="406"/>
      <c r="C69" s="404"/>
      <c r="D69" s="404"/>
      <c r="E69" s="404"/>
      <c r="F69" s="404"/>
      <c r="G69" s="343" t="s">
        <v>388</v>
      </c>
      <c r="H69" s="344" t="s">
        <v>1366</v>
      </c>
    </row>
    <row r="70" spans="1:8" ht="25.5" x14ac:dyDescent="0.25">
      <c r="A70" s="405"/>
      <c r="B70" s="406"/>
      <c r="C70" s="404"/>
      <c r="D70" s="404"/>
      <c r="E70" s="404"/>
      <c r="F70" s="404"/>
      <c r="G70" s="343" t="s">
        <v>389</v>
      </c>
      <c r="H70" s="344" t="s">
        <v>1367</v>
      </c>
    </row>
    <row r="71" spans="1:8" x14ac:dyDescent="0.25">
      <c r="A71" s="405" t="s">
        <v>1639</v>
      </c>
      <c r="B71" s="406" t="s">
        <v>1695</v>
      </c>
      <c r="C71" s="404" t="s">
        <v>148</v>
      </c>
      <c r="D71" s="404" t="s">
        <v>1665</v>
      </c>
      <c r="E71" s="404" t="s">
        <v>1371</v>
      </c>
      <c r="F71" s="404" t="s">
        <v>1742</v>
      </c>
      <c r="G71" s="343" t="s">
        <v>390</v>
      </c>
      <c r="H71" s="344" t="s">
        <v>300</v>
      </c>
    </row>
    <row r="72" spans="1:8" ht="25.5" x14ac:dyDescent="0.25">
      <c r="A72" s="405"/>
      <c r="B72" s="406"/>
      <c r="C72" s="404"/>
      <c r="D72" s="404"/>
      <c r="E72" s="404"/>
      <c r="F72" s="404"/>
      <c r="G72" s="343" t="s">
        <v>391</v>
      </c>
      <c r="H72" s="344" t="s">
        <v>1369</v>
      </c>
    </row>
    <row r="73" spans="1:8" x14ac:dyDescent="0.25">
      <c r="A73" s="405"/>
      <c r="B73" s="406"/>
      <c r="C73" s="404"/>
      <c r="D73" s="404"/>
      <c r="E73" s="404"/>
      <c r="F73" s="404"/>
      <c r="G73" s="343" t="s">
        <v>678</v>
      </c>
      <c r="H73" s="344" t="s">
        <v>1370</v>
      </c>
    </row>
    <row r="74" spans="1:8" ht="12" customHeight="1" x14ac:dyDescent="0.25">
      <c r="A74" s="405" t="s">
        <v>1639</v>
      </c>
      <c r="B74" s="406" t="s">
        <v>1334</v>
      </c>
      <c r="C74" s="404" t="s">
        <v>1697</v>
      </c>
      <c r="D74" s="404"/>
      <c r="E74" s="404" t="s">
        <v>1376</v>
      </c>
      <c r="F74" s="404" t="s">
        <v>1698</v>
      </c>
      <c r="G74" s="343" t="s">
        <v>399</v>
      </c>
      <c r="H74" s="344" t="s">
        <v>1374</v>
      </c>
    </row>
    <row r="75" spans="1:8" x14ac:dyDescent="0.25">
      <c r="A75" s="405"/>
      <c r="B75" s="406"/>
      <c r="C75" s="404"/>
      <c r="D75" s="404"/>
      <c r="E75" s="404"/>
      <c r="F75" s="404"/>
      <c r="G75" s="343" t="s">
        <v>501</v>
      </c>
      <c r="H75" s="344" t="s">
        <v>1375</v>
      </c>
    </row>
    <row r="76" spans="1:8" ht="12" customHeight="1" x14ac:dyDescent="0.25">
      <c r="A76" s="405" t="s">
        <v>1639</v>
      </c>
      <c r="B76" s="406" t="s">
        <v>1334</v>
      </c>
      <c r="C76" s="404" t="s">
        <v>1377</v>
      </c>
      <c r="D76" s="404"/>
      <c r="E76" s="404" t="s">
        <v>1379</v>
      </c>
      <c r="F76" s="404" t="s">
        <v>1699</v>
      </c>
      <c r="G76" s="343" t="s">
        <v>401</v>
      </c>
      <c r="H76" s="344" t="s">
        <v>297</v>
      </c>
    </row>
    <row r="77" spans="1:8" ht="38.25" x14ac:dyDescent="0.25">
      <c r="A77" s="405"/>
      <c r="B77" s="406"/>
      <c r="C77" s="404"/>
      <c r="D77" s="404"/>
      <c r="E77" s="404"/>
      <c r="F77" s="404"/>
      <c r="G77" s="343" t="s">
        <v>502</v>
      </c>
      <c r="H77" s="344" t="s">
        <v>1378</v>
      </c>
    </row>
    <row r="78" spans="1:8" ht="12" customHeight="1" x14ac:dyDescent="0.25">
      <c r="A78" s="405" t="s">
        <v>1639</v>
      </c>
      <c r="B78" s="406" t="s">
        <v>1334</v>
      </c>
      <c r="C78" s="404" t="s">
        <v>1380</v>
      </c>
      <c r="D78" s="404"/>
      <c r="E78" s="404" t="s">
        <v>1385</v>
      </c>
      <c r="F78" s="404" t="s">
        <v>1700</v>
      </c>
      <c r="G78" s="343" t="s">
        <v>402</v>
      </c>
      <c r="H78" s="344" t="s">
        <v>1382</v>
      </c>
    </row>
    <row r="79" spans="1:8" x14ac:dyDescent="0.25">
      <c r="A79" s="405"/>
      <c r="B79" s="406"/>
      <c r="C79" s="404"/>
      <c r="D79" s="404"/>
      <c r="E79" s="404"/>
      <c r="F79" s="404"/>
      <c r="G79" s="343" t="s">
        <v>411</v>
      </c>
      <c r="H79" s="344" t="s">
        <v>1383</v>
      </c>
    </row>
    <row r="80" spans="1:8" x14ac:dyDescent="0.25">
      <c r="A80" s="405"/>
      <c r="B80" s="406"/>
      <c r="C80" s="404"/>
      <c r="D80" s="404"/>
      <c r="E80" s="404"/>
      <c r="F80" s="404"/>
      <c r="G80" s="343" t="s">
        <v>1381</v>
      </c>
      <c r="H80" s="344" t="s">
        <v>1384</v>
      </c>
    </row>
    <row r="81" spans="1:8" ht="25.5" x14ac:dyDescent="0.25">
      <c r="A81" s="405" t="s">
        <v>1639</v>
      </c>
      <c r="B81" s="406" t="s">
        <v>1334</v>
      </c>
      <c r="C81" s="404" t="s">
        <v>1386</v>
      </c>
      <c r="D81" s="404"/>
      <c r="E81" s="404" t="s">
        <v>1389</v>
      </c>
      <c r="F81" s="404" t="s">
        <v>1136</v>
      </c>
      <c r="G81" s="343" t="s">
        <v>403</v>
      </c>
      <c r="H81" s="344" t="s">
        <v>1388</v>
      </c>
    </row>
    <row r="82" spans="1:8" ht="25.5" x14ac:dyDescent="0.25">
      <c r="A82" s="405"/>
      <c r="B82" s="406"/>
      <c r="C82" s="404"/>
      <c r="D82" s="404"/>
      <c r="E82" s="404"/>
      <c r="F82" s="404" t="s">
        <v>1138</v>
      </c>
      <c r="G82" s="343" t="s">
        <v>404</v>
      </c>
      <c r="H82" s="344" t="s">
        <v>767</v>
      </c>
    </row>
    <row r="83" spans="1:8" x14ac:dyDescent="0.25">
      <c r="A83" s="405"/>
      <c r="B83" s="406"/>
      <c r="C83" s="404"/>
      <c r="D83" s="404"/>
      <c r="E83" s="404"/>
      <c r="F83" s="404" t="s">
        <v>1136</v>
      </c>
      <c r="G83" s="343" t="s">
        <v>1387</v>
      </c>
      <c r="H83" s="344" t="s">
        <v>296</v>
      </c>
    </row>
    <row r="84" spans="1:8" ht="38.25" x14ac:dyDescent="0.25">
      <c r="A84" s="346" t="s">
        <v>1639</v>
      </c>
      <c r="B84" s="347" t="s">
        <v>1315</v>
      </c>
      <c r="C84" s="342" t="s">
        <v>1390</v>
      </c>
      <c r="D84" s="342"/>
      <c r="E84" s="342" t="s">
        <v>1391</v>
      </c>
      <c r="F84" s="342" t="s">
        <v>1139</v>
      </c>
      <c r="G84" s="343" t="s">
        <v>192</v>
      </c>
      <c r="H84" s="344" t="s">
        <v>298</v>
      </c>
    </row>
    <row r="85" spans="1:8" ht="38.25" x14ac:dyDescent="0.25">
      <c r="A85" s="405" t="s">
        <v>1639</v>
      </c>
      <c r="B85" s="406" t="s">
        <v>1315</v>
      </c>
      <c r="C85" s="404" t="s">
        <v>1392</v>
      </c>
      <c r="D85" s="404"/>
      <c r="E85" s="404" t="s">
        <v>1398</v>
      </c>
      <c r="F85" s="404" t="s">
        <v>1743</v>
      </c>
      <c r="G85" s="343" t="s">
        <v>188</v>
      </c>
      <c r="H85" s="344" t="s">
        <v>1395</v>
      </c>
    </row>
    <row r="86" spans="1:8" ht="25.5" x14ac:dyDescent="0.25">
      <c r="A86" s="405"/>
      <c r="B86" s="406"/>
      <c r="C86" s="404"/>
      <c r="D86" s="404"/>
      <c r="E86" s="404"/>
      <c r="F86" s="404"/>
      <c r="G86" s="343" t="s">
        <v>1393</v>
      </c>
      <c r="H86" s="344" t="s">
        <v>1396</v>
      </c>
    </row>
    <row r="87" spans="1:8" ht="25.5" x14ac:dyDescent="0.25">
      <c r="A87" s="405"/>
      <c r="B87" s="406"/>
      <c r="C87" s="404"/>
      <c r="D87" s="404"/>
      <c r="E87" s="404"/>
      <c r="F87" s="404"/>
      <c r="G87" s="343" t="s">
        <v>1394</v>
      </c>
      <c r="H87" s="344" t="s">
        <v>1397</v>
      </c>
    </row>
    <row r="88" spans="1:8" x14ac:dyDescent="0.25">
      <c r="A88" s="405" t="s">
        <v>1639</v>
      </c>
      <c r="B88" s="406" t="s">
        <v>1315</v>
      </c>
      <c r="C88" s="404" t="s">
        <v>1400</v>
      </c>
      <c r="D88" s="404"/>
      <c r="E88" s="404" t="s">
        <v>1403</v>
      </c>
      <c r="F88" s="404" t="s">
        <v>1191</v>
      </c>
      <c r="G88" s="343" t="s">
        <v>1401</v>
      </c>
      <c r="H88" s="344" t="s">
        <v>301</v>
      </c>
    </row>
    <row r="89" spans="1:8" x14ac:dyDescent="0.25">
      <c r="A89" s="405"/>
      <c r="B89" s="406"/>
      <c r="C89" s="404"/>
      <c r="D89" s="404"/>
      <c r="E89" s="404"/>
      <c r="F89" s="404"/>
      <c r="G89" s="343" t="s">
        <v>1402</v>
      </c>
      <c r="H89" s="344" t="s">
        <v>302</v>
      </c>
    </row>
    <row r="90" spans="1:8" ht="12" customHeight="1" x14ac:dyDescent="0.25">
      <c r="A90" s="405" t="s">
        <v>1639</v>
      </c>
      <c r="B90" s="406" t="s">
        <v>1335</v>
      </c>
      <c r="C90" s="404" t="s">
        <v>1404</v>
      </c>
      <c r="D90" s="404"/>
      <c r="E90" s="404" t="s">
        <v>1410</v>
      </c>
      <c r="F90" s="404" t="s">
        <v>1744</v>
      </c>
      <c r="G90" s="343" t="s">
        <v>190</v>
      </c>
      <c r="H90" s="348" t="s">
        <v>1405</v>
      </c>
    </row>
    <row r="91" spans="1:8" ht="25.5" x14ac:dyDescent="0.25">
      <c r="A91" s="405"/>
      <c r="B91" s="406"/>
      <c r="C91" s="404"/>
      <c r="D91" s="404"/>
      <c r="E91" s="404"/>
      <c r="F91" s="404"/>
      <c r="G91" s="343" t="s">
        <v>191</v>
      </c>
      <c r="H91" s="348" t="s">
        <v>1406</v>
      </c>
    </row>
    <row r="92" spans="1:8" x14ac:dyDescent="0.25">
      <c r="A92" s="405"/>
      <c r="B92" s="406"/>
      <c r="C92" s="404"/>
      <c r="D92" s="404"/>
      <c r="E92" s="404"/>
      <c r="F92" s="404"/>
      <c r="G92" s="343" t="s">
        <v>1408</v>
      </c>
      <c r="H92" s="348" t="s">
        <v>1407</v>
      </c>
    </row>
    <row r="93" spans="1:8" ht="25.5" x14ac:dyDescent="0.25">
      <c r="A93" s="405"/>
      <c r="B93" s="406"/>
      <c r="C93" s="404"/>
      <c r="D93" s="404"/>
      <c r="E93" s="404"/>
      <c r="F93" s="404"/>
      <c r="G93" s="343" t="s">
        <v>1409</v>
      </c>
      <c r="H93" s="348" t="s">
        <v>85</v>
      </c>
    </row>
    <row r="94" spans="1:8" ht="12" customHeight="1" x14ac:dyDescent="0.25">
      <c r="A94" s="405" t="s">
        <v>1641</v>
      </c>
      <c r="B94" s="406" t="s">
        <v>1411</v>
      </c>
      <c r="C94" s="404" t="s">
        <v>1412</v>
      </c>
      <c r="D94" s="404"/>
      <c r="E94" s="404" t="s">
        <v>1421</v>
      </c>
      <c r="F94" s="404" t="s">
        <v>1701</v>
      </c>
      <c r="G94" s="343" t="s">
        <v>180</v>
      </c>
      <c r="H94" s="344" t="s">
        <v>1413</v>
      </c>
    </row>
    <row r="95" spans="1:8" ht="25.5" x14ac:dyDescent="0.25">
      <c r="A95" s="405"/>
      <c r="B95" s="406"/>
      <c r="C95" s="404"/>
      <c r="D95" s="404"/>
      <c r="E95" s="404"/>
      <c r="F95" s="404"/>
      <c r="G95" s="343" t="s">
        <v>830</v>
      </c>
      <c r="H95" s="344" t="s">
        <v>1414</v>
      </c>
    </row>
    <row r="96" spans="1:8" x14ac:dyDescent="0.25">
      <c r="A96" s="405"/>
      <c r="B96" s="406"/>
      <c r="C96" s="404"/>
      <c r="D96" s="404"/>
      <c r="E96" s="404"/>
      <c r="F96" s="404"/>
      <c r="G96" s="343" t="s">
        <v>709</v>
      </c>
      <c r="H96" s="344" t="s">
        <v>1415</v>
      </c>
    </row>
    <row r="97" spans="1:8" x14ac:dyDescent="0.25">
      <c r="A97" s="405"/>
      <c r="B97" s="406"/>
      <c r="C97" s="404"/>
      <c r="D97" s="404"/>
      <c r="E97" s="404"/>
      <c r="F97" s="404"/>
      <c r="G97" s="343" t="s">
        <v>831</v>
      </c>
      <c r="H97" s="344" t="s">
        <v>1416</v>
      </c>
    </row>
    <row r="98" spans="1:8" x14ac:dyDescent="0.25">
      <c r="A98" s="405"/>
      <c r="B98" s="406"/>
      <c r="C98" s="404"/>
      <c r="D98" s="404"/>
      <c r="E98" s="404"/>
      <c r="F98" s="404"/>
      <c r="G98" s="343" t="s">
        <v>710</v>
      </c>
      <c r="H98" s="344" t="s">
        <v>1417</v>
      </c>
    </row>
    <row r="99" spans="1:8" x14ac:dyDescent="0.25">
      <c r="A99" s="405"/>
      <c r="B99" s="406"/>
      <c r="C99" s="404"/>
      <c r="D99" s="404"/>
      <c r="E99" s="404"/>
      <c r="F99" s="404"/>
      <c r="G99" s="343" t="s">
        <v>711</v>
      </c>
      <c r="H99" s="344" t="s">
        <v>1418</v>
      </c>
    </row>
    <row r="100" spans="1:8" x14ac:dyDescent="0.25">
      <c r="A100" s="405"/>
      <c r="B100" s="406"/>
      <c r="C100" s="404"/>
      <c r="D100" s="404"/>
      <c r="E100" s="404"/>
      <c r="F100" s="404"/>
      <c r="G100" s="343" t="s">
        <v>1420</v>
      </c>
      <c r="H100" s="344" t="s">
        <v>1419</v>
      </c>
    </row>
    <row r="101" spans="1:8" ht="12" customHeight="1" x14ac:dyDescent="0.25">
      <c r="A101" s="405" t="s">
        <v>1641</v>
      </c>
      <c r="B101" s="406" t="s">
        <v>1411</v>
      </c>
      <c r="C101" s="404" t="s">
        <v>1422</v>
      </c>
      <c r="D101" s="404"/>
      <c r="E101" s="404" t="s">
        <v>1425</v>
      </c>
      <c r="F101" s="404" t="s">
        <v>1749</v>
      </c>
      <c r="G101" s="343" t="s">
        <v>1745</v>
      </c>
      <c r="H101" s="344" t="s">
        <v>1424</v>
      </c>
    </row>
    <row r="102" spans="1:8" x14ac:dyDescent="0.25">
      <c r="A102" s="405"/>
      <c r="B102" s="406"/>
      <c r="C102" s="404"/>
      <c r="D102" s="404"/>
      <c r="E102" s="404"/>
      <c r="F102" s="404"/>
      <c r="G102" s="343" t="s">
        <v>1746</v>
      </c>
      <c r="H102" s="344" t="s">
        <v>31</v>
      </c>
    </row>
    <row r="103" spans="1:8" ht="25.5" x14ac:dyDescent="0.25">
      <c r="A103" s="405"/>
      <c r="B103" s="406"/>
      <c r="C103" s="404"/>
      <c r="D103" s="404"/>
      <c r="E103" s="404"/>
      <c r="F103" s="404"/>
      <c r="G103" s="343" t="s">
        <v>1747</v>
      </c>
      <c r="H103" s="344" t="s">
        <v>32</v>
      </c>
    </row>
    <row r="104" spans="1:8" x14ac:dyDescent="0.25">
      <c r="A104" s="405"/>
      <c r="B104" s="406"/>
      <c r="C104" s="404"/>
      <c r="D104" s="404"/>
      <c r="E104" s="404"/>
      <c r="F104" s="404"/>
      <c r="G104" s="343" t="s">
        <v>1748</v>
      </c>
      <c r="H104" s="344" t="s">
        <v>33</v>
      </c>
    </row>
    <row r="105" spans="1:8" ht="12" customHeight="1" x14ac:dyDescent="0.25">
      <c r="A105" s="405" t="s">
        <v>1641</v>
      </c>
      <c r="B105" s="406" t="s">
        <v>1411</v>
      </c>
      <c r="C105" s="404" t="s">
        <v>95</v>
      </c>
      <c r="D105" s="404" t="s">
        <v>1665</v>
      </c>
      <c r="E105" s="404" t="s">
        <v>1439</v>
      </c>
      <c r="F105" s="404" t="s">
        <v>1702</v>
      </c>
      <c r="G105" s="343" t="s">
        <v>1427</v>
      </c>
      <c r="H105" s="344" t="s">
        <v>86</v>
      </c>
    </row>
    <row r="106" spans="1:8" ht="25.5" x14ac:dyDescent="0.25">
      <c r="A106" s="405"/>
      <c r="B106" s="406"/>
      <c r="C106" s="404"/>
      <c r="D106" s="404"/>
      <c r="E106" s="404"/>
      <c r="F106" s="404"/>
      <c r="G106" s="343" t="s">
        <v>1428</v>
      </c>
      <c r="H106" s="344" t="s">
        <v>87</v>
      </c>
    </row>
    <row r="107" spans="1:8" x14ac:dyDescent="0.25">
      <c r="A107" s="405"/>
      <c r="B107" s="406"/>
      <c r="C107" s="404"/>
      <c r="D107" s="404"/>
      <c r="E107" s="404"/>
      <c r="F107" s="404"/>
      <c r="G107" s="343" t="s">
        <v>1429</v>
      </c>
      <c r="H107" s="344" t="s">
        <v>88</v>
      </c>
    </row>
    <row r="108" spans="1:8" x14ac:dyDescent="0.25">
      <c r="A108" s="405"/>
      <c r="B108" s="406"/>
      <c r="C108" s="404"/>
      <c r="D108" s="404"/>
      <c r="E108" s="404"/>
      <c r="F108" s="404"/>
      <c r="G108" s="343" t="s">
        <v>1430</v>
      </c>
      <c r="H108" s="344" t="s">
        <v>89</v>
      </c>
    </row>
    <row r="109" spans="1:8" x14ac:dyDescent="0.25">
      <c r="A109" s="405"/>
      <c r="B109" s="406"/>
      <c r="C109" s="404"/>
      <c r="D109" s="404"/>
      <c r="E109" s="404"/>
      <c r="F109" s="404"/>
      <c r="G109" s="343" t="s">
        <v>1431</v>
      </c>
      <c r="H109" s="344" t="s">
        <v>90</v>
      </c>
    </row>
    <row r="110" spans="1:8" ht="25.5" x14ac:dyDescent="0.25">
      <c r="A110" s="405"/>
      <c r="B110" s="406"/>
      <c r="C110" s="404"/>
      <c r="D110" s="404"/>
      <c r="E110" s="404"/>
      <c r="F110" s="404"/>
      <c r="G110" s="343" t="s">
        <v>1432</v>
      </c>
      <c r="H110" s="344" t="s">
        <v>744</v>
      </c>
    </row>
    <row r="111" spans="1:8" x14ac:dyDescent="0.25">
      <c r="A111" s="405"/>
      <c r="B111" s="406"/>
      <c r="C111" s="404"/>
      <c r="D111" s="404"/>
      <c r="E111" s="404"/>
      <c r="F111" s="404"/>
      <c r="G111" s="343" t="s">
        <v>1433</v>
      </c>
      <c r="H111" s="344" t="s">
        <v>91</v>
      </c>
    </row>
    <row r="112" spans="1:8" ht="25.5" x14ac:dyDescent="0.25">
      <c r="A112" s="405"/>
      <c r="B112" s="406"/>
      <c r="C112" s="404"/>
      <c r="D112" s="404"/>
      <c r="E112" s="404"/>
      <c r="F112" s="404"/>
      <c r="G112" s="343" t="s">
        <v>1434</v>
      </c>
      <c r="H112" s="344" t="s">
        <v>1437</v>
      </c>
    </row>
    <row r="113" spans="1:8" ht="25.5" x14ac:dyDescent="0.25">
      <c r="A113" s="405"/>
      <c r="B113" s="406"/>
      <c r="C113" s="404"/>
      <c r="D113" s="404"/>
      <c r="E113" s="404"/>
      <c r="F113" s="404"/>
      <c r="G113" s="343" t="s">
        <v>1435</v>
      </c>
      <c r="H113" s="344" t="s">
        <v>34</v>
      </c>
    </row>
    <row r="114" spans="1:8" ht="25.5" x14ac:dyDescent="0.25">
      <c r="A114" s="405"/>
      <c r="B114" s="406"/>
      <c r="C114" s="404"/>
      <c r="D114" s="404"/>
      <c r="E114" s="404"/>
      <c r="F114" s="404"/>
      <c r="G114" s="343" t="s">
        <v>1436</v>
      </c>
      <c r="H114" s="344" t="s">
        <v>1438</v>
      </c>
    </row>
    <row r="115" spans="1:8" ht="24" customHeight="1" x14ac:dyDescent="0.25">
      <c r="A115" s="405" t="s">
        <v>1641</v>
      </c>
      <c r="B115" s="406" t="s">
        <v>1703</v>
      </c>
      <c r="C115" s="404" t="s">
        <v>1441</v>
      </c>
      <c r="D115" s="404"/>
      <c r="E115" s="404" t="s">
        <v>1444</v>
      </c>
      <c r="F115" s="404" t="s">
        <v>1704</v>
      </c>
      <c r="G115" s="343" t="s">
        <v>720</v>
      </c>
      <c r="H115" s="344" t="s">
        <v>1442</v>
      </c>
    </row>
    <row r="116" spans="1:8" ht="25.5" x14ac:dyDescent="0.25">
      <c r="A116" s="405"/>
      <c r="B116" s="406"/>
      <c r="C116" s="404"/>
      <c r="D116" s="404"/>
      <c r="E116" s="404"/>
      <c r="F116" s="404"/>
      <c r="G116" s="343" t="s">
        <v>722</v>
      </c>
      <c r="H116" s="344" t="s">
        <v>1443</v>
      </c>
    </row>
    <row r="117" spans="1:8" ht="25.5" x14ac:dyDescent="0.25">
      <c r="A117" s="405"/>
      <c r="B117" s="406"/>
      <c r="C117" s="404"/>
      <c r="D117" s="404"/>
      <c r="E117" s="404"/>
      <c r="F117" s="404"/>
      <c r="G117" s="343" t="s">
        <v>723</v>
      </c>
      <c r="H117" s="344" t="s">
        <v>176</v>
      </c>
    </row>
    <row r="118" spans="1:8" ht="25.5" x14ac:dyDescent="0.25">
      <c r="A118" s="405" t="s">
        <v>1641</v>
      </c>
      <c r="B118" s="406" t="s">
        <v>1703</v>
      </c>
      <c r="C118" s="404" t="s">
        <v>1445</v>
      </c>
      <c r="D118" s="404"/>
      <c r="E118" s="404" t="s">
        <v>1444</v>
      </c>
      <c r="F118" s="404" t="s">
        <v>1705</v>
      </c>
      <c r="G118" s="343" t="s">
        <v>727</v>
      </c>
      <c r="H118" s="344" t="s">
        <v>1446</v>
      </c>
    </row>
    <row r="119" spans="1:8" ht="25.5" x14ac:dyDescent="0.25">
      <c r="A119" s="405"/>
      <c r="B119" s="406"/>
      <c r="C119" s="404"/>
      <c r="D119" s="404"/>
      <c r="E119" s="404"/>
      <c r="F119" s="404"/>
      <c r="G119" s="343" t="s">
        <v>728</v>
      </c>
      <c r="H119" s="344" t="s">
        <v>1447</v>
      </c>
    </row>
    <row r="120" spans="1:8" ht="25.5" x14ac:dyDescent="0.25">
      <c r="A120" s="405" t="s">
        <v>1641</v>
      </c>
      <c r="B120" s="406" t="s">
        <v>1703</v>
      </c>
      <c r="C120" s="404" t="s">
        <v>1449</v>
      </c>
      <c r="D120" s="404"/>
      <c r="E120" s="404" t="s">
        <v>1458</v>
      </c>
      <c r="F120" s="404" t="s">
        <v>1750</v>
      </c>
      <c r="G120" s="343" t="s">
        <v>1450</v>
      </c>
      <c r="H120" s="344" t="s">
        <v>1454</v>
      </c>
    </row>
    <row r="121" spans="1:8" x14ac:dyDescent="0.25">
      <c r="A121" s="405"/>
      <c r="B121" s="406"/>
      <c r="C121" s="404"/>
      <c r="D121" s="404"/>
      <c r="E121" s="404"/>
      <c r="F121" s="404"/>
      <c r="G121" s="349" t="s">
        <v>1451</v>
      </c>
      <c r="H121" s="344" t="s">
        <v>1455</v>
      </c>
    </row>
    <row r="122" spans="1:8" ht="25.5" x14ac:dyDescent="0.25">
      <c r="A122" s="405"/>
      <c r="B122" s="406"/>
      <c r="C122" s="404"/>
      <c r="D122" s="404"/>
      <c r="E122" s="404"/>
      <c r="F122" s="404"/>
      <c r="G122" s="343" t="s">
        <v>1452</v>
      </c>
      <c r="H122" s="344" t="s">
        <v>1456</v>
      </c>
    </row>
    <row r="123" spans="1:8" ht="25.5" x14ac:dyDescent="0.25">
      <c r="A123" s="405"/>
      <c r="B123" s="406"/>
      <c r="C123" s="404"/>
      <c r="D123" s="404"/>
      <c r="E123" s="404"/>
      <c r="F123" s="404"/>
      <c r="G123" s="343" t="s">
        <v>1453</v>
      </c>
      <c r="H123" s="344" t="s">
        <v>1457</v>
      </c>
    </row>
    <row r="124" spans="1:8" x14ac:dyDescent="0.25">
      <c r="A124" s="405" t="s">
        <v>1641</v>
      </c>
      <c r="B124" s="406" t="s">
        <v>1319</v>
      </c>
      <c r="C124" s="404" t="s">
        <v>1460</v>
      </c>
      <c r="D124" s="404"/>
      <c r="E124" s="404" t="s">
        <v>1462</v>
      </c>
      <c r="F124" s="404" t="s">
        <v>1066</v>
      </c>
      <c r="G124" s="343" t="s">
        <v>734</v>
      </c>
      <c r="H124" s="344" t="s">
        <v>292</v>
      </c>
    </row>
    <row r="125" spans="1:8" ht="38.25" x14ac:dyDescent="0.25">
      <c r="A125" s="405"/>
      <c r="B125" s="406"/>
      <c r="C125" s="404"/>
      <c r="D125" s="404"/>
      <c r="E125" s="404"/>
      <c r="F125" s="404"/>
      <c r="G125" s="343" t="s">
        <v>736</v>
      </c>
      <c r="H125" s="344" t="s">
        <v>1461</v>
      </c>
    </row>
    <row r="126" spans="1:8" x14ac:dyDescent="0.25">
      <c r="A126" s="405" t="s">
        <v>1641</v>
      </c>
      <c r="B126" s="406" t="s">
        <v>1319</v>
      </c>
      <c r="C126" s="404" t="s">
        <v>1463</v>
      </c>
      <c r="D126" s="404"/>
      <c r="E126" s="404" t="s">
        <v>1465</v>
      </c>
      <c r="F126" s="404" t="s">
        <v>1218</v>
      </c>
      <c r="G126" s="343" t="s">
        <v>738</v>
      </c>
      <c r="H126" s="348" t="s">
        <v>1464</v>
      </c>
    </row>
    <row r="127" spans="1:8" ht="25.5" x14ac:dyDescent="0.25">
      <c r="A127" s="405"/>
      <c r="B127" s="406"/>
      <c r="C127" s="404"/>
      <c r="D127" s="404"/>
      <c r="E127" s="404"/>
      <c r="F127" s="404"/>
      <c r="G127" s="343" t="s">
        <v>739</v>
      </c>
      <c r="H127" s="348" t="s">
        <v>184</v>
      </c>
    </row>
    <row r="128" spans="1:8" ht="25.5" x14ac:dyDescent="0.25">
      <c r="A128" s="346" t="s">
        <v>1641</v>
      </c>
      <c r="B128" s="347" t="s">
        <v>1706</v>
      </c>
      <c r="C128" s="342" t="s">
        <v>1707</v>
      </c>
      <c r="D128" s="342"/>
      <c r="E128" s="342" t="s">
        <v>1474</v>
      </c>
      <c r="F128" s="342" t="s">
        <v>1218</v>
      </c>
      <c r="G128" s="343" t="s">
        <v>1469</v>
      </c>
      <c r="H128" s="348" t="s">
        <v>1470</v>
      </c>
    </row>
    <row r="129" spans="1:8" ht="51" x14ac:dyDescent="0.25">
      <c r="A129" s="346" t="s">
        <v>1641</v>
      </c>
      <c r="B129" s="347" t="s">
        <v>1706</v>
      </c>
      <c r="C129" s="342" t="s">
        <v>1472</v>
      </c>
      <c r="D129" s="342"/>
      <c r="E129" s="342" t="s">
        <v>1475</v>
      </c>
      <c r="F129" s="342" t="s">
        <v>1218</v>
      </c>
      <c r="G129" s="343" t="s">
        <v>1473</v>
      </c>
      <c r="H129" s="344" t="s">
        <v>35</v>
      </c>
    </row>
    <row r="130" spans="1:8" ht="12" customHeight="1" x14ac:dyDescent="0.25">
      <c r="A130" s="405" t="s">
        <v>1641</v>
      </c>
      <c r="B130" s="406" t="s">
        <v>1708</v>
      </c>
      <c r="C130" s="404" t="s">
        <v>149</v>
      </c>
      <c r="D130" s="404" t="s">
        <v>1665</v>
      </c>
      <c r="E130" s="404" t="s">
        <v>1492</v>
      </c>
      <c r="F130" s="404" t="s">
        <v>1709</v>
      </c>
      <c r="G130" s="343" t="s">
        <v>1478</v>
      </c>
      <c r="H130" s="344" t="s">
        <v>1485</v>
      </c>
    </row>
    <row r="131" spans="1:8" x14ac:dyDescent="0.25">
      <c r="A131" s="405"/>
      <c r="B131" s="406"/>
      <c r="C131" s="404"/>
      <c r="D131" s="404"/>
      <c r="E131" s="404"/>
      <c r="F131" s="404"/>
      <c r="G131" s="343" t="s">
        <v>1479</v>
      </c>
      <c r="H131" s="344" t="s">
        <v>1486</v>
      </c>
    </row>
    <row r="132" spans="1:8" x14ac:dyDescent="0.25">
      <c r="A132" s="405"/>
      <c r="B132" s="406"/>
      <c r="C132" s="404"/>
      <c r="D132" s="404"/>
      <c r="E132" s="404"/>
      <c r="F132" s="404"/>
      <c r="G132" s="349" t="s">
        <v>1480</v>
      </c>
      <c r="H132" s="344" t="s">
        <v>1487</v>
      </c>
    </row>
    <row r="133" spans="1:8" x14ac:dyDescent="0.25">
      <c r="A133" s="405"/>
      <c r="B133" s="406"/>
      <c r="C133" s="404"/>
      <c r="D133" s="404"/>
      <c r="E133" s="404"/>
      <c r="F133" s="404"/>
      <c r="G133" s="343" t="s">
        <v>1481</v>
      </c>
      <c r="H133" s="344" t="s">
        <v>1488</v>
      </c>
    </row>
    <row r="134" spans="1:8" x14ac:dyDescent="0.25">
      <c r="A134" s="405"/>
      <c r="B134" s="406"/>
      <c r="C134" s="404"/>
      <c r="D134" s="404"/>
      <c r="E134" s="404"/>
      <c r="F134" s="404"/>
      <c r="G134" s="343" t="s">
        <v>1482</v>
      </c>
      <c r="H134" s="344" t="s">
        <v>1489</v>
      </c>
    </row>
    <row r="135" spans="1:8" x14ac:dyDescent="0.25">
      <c r="A135" s="405"/>
      <c r="B135" s="406"/>
      <c r="C135" s="404"/>
      <c r="D135" s="404"/>
      <c r="E135" s="404"/>
      <c r="F135" s="404"/>
      <c r="G135" s="343" t="s">
        <v>1483</v>
      </c>
      <c r="H135" s="344" t="s">
        <v>1490</v>
      </c>
    </row>
    <row r="136" spans="1:8" x14ac:dyDescent="0.25">
      <c r="A136" s="405"/>
      <c r="B136" s="406"/>
      <c r="C136" s="404"/>
      <c r="D136" s="404"/>
      <c r="E136" s="404"/>
      <c r="F136" s="404"/>
      <c r="G136" s="349" t="s">
        <v>1484</v>
      </c>
      <c r="H136" s="344" t="s">
        <v>1491</v>
      </c>
    </row>
    <row r="137" spans="1:8" ht="24" customHeight="1" x14ac:dyDescent="0.25">
      <c r="A137" s="405" t="s">
        <v>1641</v>
      </c>
      <c r="B137" s="406" t="s">
        <v>1708</v>
      </c>
      <c r="C137" s="404" t="s">
        <v>1710</v>
      </c>
      <c r="D137" s="404"/>
      <c r="E137" s="404" t="s">
        <v>1647</v>
      </c>
      <c r="F137" s="404" t="s">
        <v>1751</v>
      </c>
      <c r="G137" s="343" t="s">
        <v>1494</v>
      </c>
      <c r="H137" s="344" t="s">
        <v>1498</v>
      </c>
    </row>
    <row r="138" spans="1:8" x14ac:dyDescent="0.25">
      <c r="A138" s="405"/>
      <c r="B138" s="406"/>
      <c r="C138" s="404"/>
      <c r="D138" s="404"/>
      <c r="E138" s="404"/>
      <c r="F138" s="404"/>
      <c r="G138" s="343" t="s">
        <v>1495</v>
      </c>
      <c r="H138" s="344" t="s">
        <v>1499</v>
      </c>
    </row>
    <row r="139" spans="1:8" ht="25.5" x14ac:dyDescent="0.25">
      <c r="A139" s="405"/>
      <c r="B139" s="406"/>
      <c r="C139" s="404"/>
      <c r="D139" s="404"/>
      <c r="E139" s="404"/>
      <c r="F139" s="404"/>
      <c r="G139" s="343" t="s">
        <v>1496</v>
      </c>
      <c r="H139" s="344" t="s">
        <v>1500</v>
      </c>
    </row>
    <row r="140" spans="1:8" x14ac:dyDescent="0.25">
      <c r="A140" s="405"/>
      <c r="B140" s="406"/>
      <c r="C140" s="404"/>
      <c r="D140" s="404"/>
      <c r="E140" s="404"/>
      <c r="F140" s="404"/>
      <c r="G140" s="343" t="s">
        <v>1497</v>
      </c>
      <c r="H140" s="344" t="s">
        <v>28</v>
      </c>
    </row>
    <row r="141" spans="1:8" ht="12" customHeight="1" x14ac:dyDescent="0.25">
      <c r="A141" s="405" t="s">
        <v>1640</v>
      </c>
      <c r="B141" s="406" t="s">
        <v>1332</v>
      </c>
      <c r="C141" s="404" t="s">
        <v>1688</v>
      </c>
      <c r="D141" s="404"/>
      <c r="E141" s="404" t="s">
        <v>1511</v>
      </c>
      <c r="F141" s="404" t="s">
        <v>1711</v>
      </c>
      <c r="G141" s="343" t="s">
        <v>1505</v>
      </c>
      <c r="H141" s="344" t="s">
        <v>6</v>
      </c>
    </row>
    <row r="142" spans="1:8" x14ac:dyDescent="0.25">
      <c r="A142" s="405"/>
      <c r="B142" s="406"/>
      <c r="C142" s="404"/>
      <c r="D142" s="404"/>
      <c r="E142" s="404"/>
      <c r="F142" s="404"/>
      <c r="G142" s="343" t="s">
        <v>1506</v>
      </c>
      <c r="H142" s="344" t="s">
        <v>7</v>
      </c>
    </row>
    <row r="143" spans="1:8" ht="25.5" x14ac:dyDescent="0.25">
      <c r="A143" s="405"/>
      <c r="B143" s="406"/>
      <c r="C143" s="404"/>
      <c r="D143" s="404"/>
      <c r="E143" s="404"/>
      <c r="F143" s="404"/>
      <c r="G143" s="349" t="s">
        <v>1507</v>
      </c>
      <c r="H143" s="344" t="s">
        <v>1509</v>
      </c>
    </row>
    <row r="144" spans="1:8" ht="25.5" x14ac:dyDescent="0.25">
      <c r="A144" s="405"/>
      <c r="B144" s="406"/>
      <c r="C144" s="404"/>
      <c r="D144" s="404"/>
      <c r="E144" s="404"/>
      <c r="F144" s="404"/>
      <c r="G144" s="349" t="s">
        <v>1508</v>
      </c>
      <c r="H144" s="344" t="s">
        <v>1510</v>
      </c>
    </row>
    <row r="145" spans="1:8" ht="12" customHeight="1" x14ac:dyDescent="0.25">
      <c r="A145" s="405" t="s">
        <v>1640</v>
      </c>
      <c r="B145" s="406" t="s">
        <v>1291</v>
      </c>
      <c r="C145" s="404" t="s">
        <v>1512</v>
      </c>
      <c r="D145" s="404"/>
      <c r="E145" s="404" t="s">
        <v>1521</v>
      </c>
      <c r="F145" s="404" t="s">
        <v>1712</v>
      </c>
      <c r="G145" s="343" t="s">
        <v>1514</v>
      </c>
      <c r="H145" s="344" t="s">
        <v>1518</v>
      </c>
    </row>
    <row r="146" spans="1:8" ht="25.5" x14ac:dyDescent="0.25">
      <c r="A146" s="405"/>
      <c r="B146" s="406"/>
      <c r="C146" s="404"/>
      <c r="D146" s="404"/>
      <c r="E146" s="404"/>
      <c r="F146" s="404"/>
      <c r="G146" s="343" t="s">
        <v>1515</v>
      </c>
      <c r="H146" s="344" t="s">
        <v>1519</v>
      </c>
    </row>
    <row r="147" spans="1:8" ht="25.5" x14ac:dyDescent="0.25">
      <c r="A147" s="405"/>
      <c r="B147" s="406"/>
      <c r="C147" s="404"/>
      <c r="D147" s="404"/>
      <c r="E147" s="404"/>
      <c r="F147" s="404"/>
      <c r="G147" s="349" t="s">
        <v>1516</v>
      </c>
      <c r="H147" s="344" t="s">
        <v>1520</v>
      </c>
    </row>
    <row r="148" spans="1:8" ht="25.5" x14ac:dyDescent="0.25">
      <c r="A148" s="405"/>
      <c r="B148" s="406"/>
      <c r="C148" s="404"/>
      <c r="D148" s="404"/>
      <c r="E148" s="404"/>
      <c r="F148" s="404"/>
      <c r="G148" s="343" t="s">
        <v>1517</v>
      </c>
      <c r="H148" s="344" t="s">
        <v>8</v>
      </c>
    </row>
    <row r="149" spans="1:8" ht="25.5" x14ac:dyDescent="0.25">
      <c r="A149" s="405" t="s">
        <v>1640</v>
      </c>
      <c r="B149" s="406" t="s">
        <v>1291</v>
      </c>
      <c r="C149" s="404" t="s">
        <v>1523</v>
      </c>
      <c r="D149" s="404"/>
      <c r="E149" s="404" t="s">
        <v>1530</v>
      </c>
      <c r="F149" s="404" t="s">
        <v>1032</v>
      </c>
      <c r="G149" s="343" t="s">
        <v>1524</v>
      </c>
      <c r="H149" s="344" t="s">
        <v>9</v>
      </c>
    </row>
    <row r="150" spans="1:8" ht="25.5" x14ac:dyDescent="0.25">
      <c r="A150" s="405"/>
      <c r="B150" s="406"/>
      <c r="C150" s="404"/>
      <c r="D150" s="404"/>
      <c r="E150" s="404"/>
      <c r="F150" s="404"/>
      <c r="G150" s="343" t="s">
        <v>1525</v>
      </c>
      <c r="H150" s="344" t="s">
        <v>1528</v>
      </c>
    </row>
    <row r="151" spans="1:8" x14ac:dyDescent="0.25">
      <c r="A151" s="405"/>
      <c r="B151" s="406"/>
      <c r="C151" s="404"/>
      <c r="D151" s="404"/>
      <c r="E151" s="404"/>
      <c r="F151" s="404"/>
      <c r="G151" s="343" t="s">
        <v>1526</v>
      </c>
      <c r="H151" s="344" t="s">
        <v>293</v>
      </c>
    </row>
    <row r="152" spans="1:8" ht="25.5" x14ac:dyDescent="0.25">
      <c r="A152" s="405"/>
      <c r="B152" s="406"/>
      <c r="C152" s="404"/>
      <c r="D152" s="404"/>
      <c r="E152" s="404"/>
      <c r="F152" s="404"/>
      <c r="G152" s="343" t="s">
        <v>1527</v>
      </c>
      <c r="H152" s="344" t="s">
        <v>1529</v>
      </c>
    </row>
    <row r="153" spans="1:8" ht="38.25" x14ac:dyDescent="0.25">
      <c r="A153" s="405" t="s">
        <v>1640</v>
      </c>
      <c r="B153" s="406" t="s">
        <v>1291</v>
      </c>
      <c r="C153" s="404" t="s">
        <v>950</v>
      </c>
      <c r="D153" s="404" t="s">
        <v>1665</v>
      </c>
      <c r="E153" s="404" t="s">
        <v>1537</v>
      </c>
      <c r="F153" s="404" t="s">
        <v>1713</v>
      </c>
      <c r="G153" s="343" t="s">
        <v>1532</v>
      </c>
      <c r="H153" s="344" t="s">
        <v>10</v>
      </c>
    </row>
    <row r="154" spans="1:8" ht="25.5" x14ac:dyDescent="0.25">
      <c r="A154" s="405"/>
      <c r="B154" s="406"/>
      <c r="C154" s="404"/>
      <c r="D154" s="404"/>
      <c r="E154" s="404"/>
      <c r="F154" s="404"/>
      <c r="G154" s="343" t="s">
        <v>1533</v>
      </c>
      <c r="H154" s="344" t="s">
        <v>1535</v>
      </c>
    </row>
    <row r="155" spans="1:8" ht="25.5" x14ac:dyDescent="0.25">
      <c r="A155" s="405"/>
      <c r="B155" s="406"/>
      <c r="C155" s="404"/>
      <c r="D155" s="404"/>
      <c r="E155" s="404"/>
      <c r="F155" s="404"/>
      <c r="G155" s="349" t="s">
        <v>1534</v>
      </c>
      <c r="H155" s="344" t="s">
        <v>1536</v>
      </c>
    </row>
    <row r="156" spans="1:8" ht="25.5" x14ac:dyDescent="0.25">
      <c r="A156" s="405" t="s">
        <v>1640</v>
      </c>
      <c r="B156" s="406" t="s">
        <v>1291</v>
      </c>
      <c r="C156" s="404" t="s">
        <v>1540</v>
      </c>
      <c r="D156" s="404"/>
      <c r="E156" s="404" t="s">
        <v>1545</v>
      </c>
      <c r="F156" s="404" t="s">
        <v>1752</v>
      </c>
      <c r="G156" s="343" t="s">
        <v>1541</v>
      </c>
      <c r="H156" s="344" t="s">
        <v>1543</v>
      </c>
    </row>
    <row r="157" spans="1:8" ht="25.5" x14ac:dyDescent="0.25">
      <c r="A157" s="405"/>
      <c r="B157" s="406"/>
      <c r="C157" s="404"/>
      <c r="D157" s="404"/>
      <c r="E157" s="404"/>
      <c r="F157" s="404"/>
      <c r="G157" s="343" t="s">
        <v>1542</v>
      </c>
      <c r="H157" s="344" t="s">
        <v>1544</v>
      </c>
    </row>
    <row r="158" spans="1:8" ht="24" customHeight="1" x14ac:dyDescent="0.25">
      <c r="A158" s="405" t="s">
        <v>1640</v>
      </c>
      <c r="B158" s="406" t="s">
        <v>1291</v>
      </c>
      <c r="C158" s="404" t="s">
        <v>1547</v>
      </c>
      <c r="D158" s="404"/>
      <c r="E158" s="404" t="s">
        <v>1552</v>
      </c>
      <c r="F158" s="404" t="s">
        <v>1753</v>
      </c>
      <c r="G158" s="343" t="s">
        <v>1548</v>
      </c>
      <c r="H158" s="344" t="s">
        <v>1550</v>
      </c>
    </row>
    <row r="159" spans="1:8" x14ac:dyDescent="0.25">
      <c r="A159" s="405"/>
      <c r="B159" s="406"/>
      <c r="C159" s="404"/>
      <c r="D159" s="404"/>
      <c r="E159" s="404"/>
      <c r="F159" s="404"/>
      <c r="G159" s="343" t="s">
        <v>1549</v>
      </c>
      <c r="H159" s="344" t="s">
        <v>1551</v>
      </c>
    </row>
    <row r="160" spans="1:8" ht="57" customHeight="1" x14ac:dyDescent="0.25">
      <c r="A160" s="405" t="s">
        <v>1640</v>
      </c>
      <c r="B160" s="406" t="s">
        <v>1291</v>
      </c>
      <c r="C160" s="404" t="s">
        <v>1714</v>
      </c>
      <c r="D160" s="404"/>
      <c r="E160" s="404" t="s">
        <v>1559</v>
      </c>
      <c r="F160" s="404" t="s">
        <v>1715</v>
      </c>
      <c r="G160" s="343" t="s">
        <v>1555</v>
      </c>
      <c r="H160" s="344" t="s">
        <v>1557</v>
      </c>
    </row>
    <row r="161" spans="1:8" ht="57" customHeight="1" x14ac:dyDescent="0.25">
      <c r="A161" s="405"/>
      <c r="B161" s="406"/>
      <c r="C161" s="404"/>
      <c r="D161" s="404"/>
      <c r="E161" s="404"/>
      <c r="F161" s="404"/>
      <c r="G161" s="343" t="s">
        <v>1556</v>
      </c>
      <c r="H161" s="344" t="s">
        <v>1558</v>
      </c>
    </row>
    <row r="162" spans="1:8" ht="24" customHeight="1" x14ac:dyDescent="0.25">
      <c r="A162" s="405" t="s">
        <v>1640</v>
      </c>
      <c r="B162" s="406" t="s">
        <v>1315</v>
      </c>
      <c r="C162" s="404" t="s">
        <v>1560</v>
      </c>
      <c r="D162" s="404"/>
      <c r="E162" s="404" t="s">
        <v>1567</v>
      </c>
      <c r="F162" s="404" t="s">
        <v>1716</v>
      </c>
      <c r="G162" s="343" t="s">
        <v>1564</v>
      </c>
      <c r="H162" s="348" t="s">
        <v>93</v>
      </c>
    </row>
    <row r="163" spans="1:8" ht="25.5" x14ac:dyDescent="0.25">
      <c r="A163" s="405"/>
      <c r="B163" s="406"/>
      <c r="C163" s="404"/>
      <c r="D163" s="404"/>
      <c r="E163" s="404"/>
      <c r="F163" s="404"/>
      <c r="G163" s="343" t="s">
        <v>1565</v>
      </c>
      <c r="H163" s="348" t="s">
        <v>1562</v>
      </c>
    </row>
    <row r="164" spans="1:8" ht="25.5" x14ac:dyDescent="0.25">
      <c r="A164" s="405"/>
      <c r="B164" s="406"/>
      <c r="C164" s="404"/>
      <c r="D164" s="404"/>
      <c r="E164" s="404"/>
      <c r="F164" s="404"/>
      <c r="G164" s="349" t="s">
        <v>1566</v>
      </c>
      <c r="H164" s="348" t="s">
        <v>1563</v>
      </c>
    </row>
    <row r="165" spans="1:8" ht="38.25" x14ac:dyDescent="0.25">
      <c r="A165" s="405" t="s">
        <v>1640</v>
      </c>
      <c r="B165" s="406" t="s">
        <v>1315</v>
      </c>
      <c r="C165" s="404" t="s">
        <v>1569</v>
      </c>
      <c r="D165" s="404"/>
      <c r="E165" s="404" t="s">
        <v>1573</v>
      </c>
      <c r="F165" s="404" t="s">
        <v>1754</v>
      </c>
      <c r="G165" s="343" t="s">
        <v>1574</v>
      </c>
      <c r="H165" s="348" t="s">
        <v>1570</v>
      </c>
    </row>
    <row r="166" spans="1:8" ht="25.5" x14ac:dyDescent="0.25">
      <c r="A166" s="405"/>
      <c r="B166" s="406"/>
      <c r="C166" s="404"/>
      <c r="D166" s="404"/>
      <c r="E166" s="404"/>
      <c r="F166" s="404"/>
      <c r="G166" s="343" t="s">
        <v>1575</v>
      </c>
      <c r="H166" s="348" t="s">
        <v>1571</v>
      </c>
    </row>
    <row r="167" spans="1:8" ht="25.5" x14ac:dyDescent="0.25">
      <c r="A167" s="405"/>
      <c r="B167" s="406"/>
      <c r="C167" s="404"/>
      <c r="D167" s="404"/>
      <c r="E167" s="404"/>
      <c r="F167" s="404"/>
      <c r="G167" s="343" t="s">
        <v>1576</v>
      </c>
      <c r="H167" s="348" t="s">
        <v>11</v>
      </c>
    </row>
    <row r="168" spans="1:8" ht="25.5" x14ac:dyDescent="0.25">
      <c r="A168" s="405"/>
      <c r="B168" s="406"/>
      <c r="C168" s="404"/>
      <c r="D168" s="404"/>
      <c r="E168" s="404"/>
      <c r="F168" s="404"/>
      <c r="G168" s="349" t="s">
        <v>1577</v>
      </c>
      <c r="H168" s="348" t="s">
        <v>1572</v>
      </c>
    </row>
    <row r="169" spans="1:8" ht="12" customHeight="1" x14ac:dyDescent="0.25">
      <c r="A169" s="405" t="s">
        <v>1640</v>
      </c>
      <c r="B169" s="406" t="s">
        <v>1335</v>
      </c>
      <c r="C169" s="404" t="s">
        <v>1717</v>
      </c>
      <c r="D169" s="404" t="s">
        <v>1665</v>
      </c>
      <c r="E169" s="404" t="s">
        <v>1582</v>
      </c>
      <c r="F169" s="404" t="s">
        <v>1718</v>
      </c>
      <c r="G169" s="343" t="s">
        <v>1579</v>
      </c>
      <c r="H169" s="344" t="s">
        <v>1581</v>
      </c>
    </row>
    <row r="170" spans="1:8" ht="25.5" x14ac:dyDescent="0.25">
      <c r="A170" s="405"/>
      <c r="B170" s="406"/>
      <c r="C170" s="404"/>
      <c r="D170" s="404"/>
      <c r="E170" s="404"/>
      <c r="F170" s="404"/>
      <c r="G170" s="343" t="s">
        <v>1580</v>
      </c>
      <c r="H170" s="344" t="s">
        <v>12</v>
      </c>
    </row>
    <row r="171" spans="1:8" ht="25.5" x14ac:dyDescent="0.25">
      <c r="A171" s="405" t="s">
        <v>1640</v>
      </c>
      <c r="B171" s="406" t="s">
        <v>1335</v>
      </c>
      <c r="C171" s="404" t="s">
        <v>150</v>
      </c>
      <c r="D171" s="404" t="s">
        <v>1665</v>
      </c>
      <c r="E171" s="404" t="s">
        <v>1589</v>
      </c>
      <c r="F171" s="404" t="s">
        <v>1719</v>
      </c>
      <c r="G171" s="343" t="s">
        <v>1585</v>
      </c>
      <c r="H171" s="344" t="s">
        <v>1587</v>
      </c>
    </row>
    <row r="172" spans="1:8" ht="25.5" x14ac:dyDescent="0.25">
      <c r="A172" s="405"/>
      <c r="B172" s="406"/>
      <c r="C172" s="404"/>
      <c r="D172" s="404"/>
      <c r="E172" s="404"/>
      <c r="F172" s="404"/>
      <c r="G172" s="343" t="s">
        <v>1586</v>
      </c>
      <c r="H172" s="344" t="s">
        <v>1588</v>
      </c>
    </row>
    <row r="173" spans="1:8" ht="51" x14ac:dyDescent="0.25">
      <c r="A173" s="346" t="s">
        <v>1640</v>
      </c>
      <c r="B173" s="347" t="s">
        <v>1335</v>
      </c>
      <c r="C173" s="342" t="s">
        <v>1592</v>
      </c>
      <c r="D173" s="342"/>
      <c r="E173" s="342" t="s">
        <v>1720</v>
      </c>
      <c r="F173" s="342" t="s">
        <v>1721</v>
      </c>
      <c r="G173" s="343" t="s">
        <v>1593</v>
      </c>
      <c r="H173" s="344" t="s">
        <v>303</v>
      </c>
    </row>
    <row r="174" spans="1:8" ht="25.5" x14ac:dyDescent="0.25">
      <c r="A174" s="405" t="s">
        <v>1640</v>
      </c>
      <c r="B174" s="406" t="s">
        <v>1594</v>
      </c>
      <c r="C174" s="404" t="s">
        <v>1597</v>
      </c>
      <c r="D174" s="404"/>
      <c r="E174" s="404" t="s">
        <v>1602</v>
      </c>
      <c r="F174" s="404" t="s">
        <v>1722</v>
      </c>
      <c r="G174" s="343" t="s">
        <v>1598</v>
      </c>
      <c r="H174" s="344" t="s">
        <v>1600</v>
      </c>
    </row>
    <row r="175" spans="1:8" x14ac:dyDescent="0.25">
      <c r="A175" s="405"/>
      <c r="B175" s="406"/>
      <c r="C175" s="404"/>
      <c r="D175" s="404"/>
      <c r="E175" s="404"/>
      <c r="F175" s="404"/>
      <c r="G175" s="343" t="s">
        <v>1599</v>
      </c>
      <c r="H175" s="344" t="s">
        <v>1601</v>
      </c>
    </row>
    <row r="176" spans="1:8" ht="24" customHeight="1" x14ac:dyDescent="0.25">
      <c r="A176" s="405" t="s">
        <v>1640</v>
      </c>
      <c r="B176" s="406" t="s">
        <v>1594</v>
      </c>
      <c r="C176" s="404" t="s">
        <v>1594</v>
      </c>
      <c r="D176" s="404"/>
      <c r="E176" s="404" t="s">
        <v>1608</v>
      </c>
      <c r="F176" s="404" t="s">
        <v>1723</v>
      </c>
      <c r="G176" s="343" t="s">
        <v>1603</v>
      </c>
      <c r="H176" s="344" t="s">
        <v>1606</v>
      </c>
    </row>
    <row r="177" spans="1:8" ht="25.5" x14ac:dyDescent="0.25">
      <c r="A177" s="405"/>
      <c r="B177" s="406"/>
      <c r="C177" s="404"/>
      <c r="D177" s="404"/>
      <c r="E177" s="404"/>
      <c r="F177" s="404"/>
      <c r="G177" s="343" t="s">
        <v>1604</v>
      </c>
      <c r="H177" s="344" t="s">
        <v>1607</v>
      </c>
    </row>
    <row r="178" spans="1:8" ht="25.5" x14ac:dyDescent="0.25">
      <c r="A178" s="405"/>
      <c r="B178" s="406"/>
      <c r="C178" s="404"/>
      <c r="D178" s="404"/>
      <c r="E178" s="404"/>
      <c r="F178" s="404"/>
      <c r="G178" s="343" t="s">
        <v>1605</v>
      </c>
      <c r="H178" s="344" t="s">
        <v>13</v>
      </c>
    </row>
    <row r="179" spans="1:8" ht="25.5" x14ac:dyDescent="0.25">
      <c r="A179" s="405" t="s">
        <v>1640</v>
      </c>
      <c r="B179" s="406" t="s">
        <v>1594</v>
      </c>
      <c r="C179" s="404" t="s">
        <v>1609</v>
      </c>
      <c r="D179" s="404"/>
      <c r="E179" s="404" t="s">
        <v>1615</v>
      </c>
      <c r="F179" s="404" t="s">
        <v>1755</v>
      </c>
      <c r="G179" s="343" t="s">
        <v>1611</v>
      </c>
      <c r="H179" s="344" t="s">
        <v>1613</v>
      </c>
    </row>
    <row r="180" spans="1:8" x14ac:dyDescent="0.25">
      <c r="A180" s="405"/>
      <c r="B180" s="406"/>
      <c r="C180" s="404"/>
      <c r="D180" s="404"/>
      <c r="E180" s="404"/>
      <c r="F180" s="404"/>
      <c r="G180" s="343" t="s">
        <v>1612</v>
      </c>
      <c r="H180" s="344" t="s">
        <v>1614</v>
      </c>
    </row>
    <row r="181" spans="1:8" ht="24" customHeight="1" x14ac:dyDescent="0.25">
      <c r="A181" s="405" t="s">
        <v>1640</v>
      </c>
      <c r="B181" s="406" t="s">
        <v>1616</v>
      </c>
      <c r="C181" s="404" t="s">
        <v>152</v>
      </c>
      <c r="D181" s="404" t="s">
        <v>1665</v>
      </c>
      <c r="E181" s="404" t="s">
        <v>1628</v>
      </c>
      <c r="F181" s="404" t="s">
        <v>1756</v>
      </c>
      <c r="G181" s="343" t="s">
        <v>1618</v>
      </c>
      <c r="H181" s="344" t="s">
        <v>1623</v>
      </c>
    </row>
    <row r="182" spans="1:8" ht="51" x14ac:dyDescent="0.25">
      <c r="A182" s="405"/>
      <c r="B182" s="406"/>
      <c r="C182" s="404"/>
      <c r="D182" s="404"/>
      <c r="E182" s="404"/>
      <c r="F182" s="404"/>
      <c r="G182" s="343" t="s">
        <v>1619</v>
      </c>
      <c r="H182" s="344" t="s">
        <v>1624</v>
      </c>
    </row>
    <row r="183" spans="1:8" ht="38.25" x14ac:dyDescent="0.25">
      <c r="A183" s="405"/>
      <c r="B183" s="406"/>
      <c r="C183" s="404"/>
      <c r="D183" s="404"/>
      <c r="E183" s="404"/>
      <c r="F183" s="404"/>
      <c r="G183" s="343" t="s">
        <v>1620</v>
      </c>
      <c r="H183" s="344" t="s">
        <v>1625</v>
      </c>
    </row>
    <row r="184" spans="1:8" x14ac:dyDescent="0.25">
      <c r="A184" s="405"/>
      <c r="B184" s="406"/>
      <c r="C184" s="404"/>
      <c r="D184" s="404"/>
      <c r="E184" s="404"/>
      <c r="F184" s="404"/>
      <c r="G184" s="343" t="s">
        <v>1621</v>
      </c>
      <c r="H184" s="344" t="s">
        <v>1626</v>
      </c>
    </row>
    <row r="185" spans="1:8" x14ac:dyDescent="0.25">
      <c r="A185" s="405"/>
      <c r="B185" s="406"/>
      <c r="C185" s="404"/>
      <c r="D185" s="404"/>
      <c r="E185" s="404"/>
      <c r="F185" s="404"/>
      <c r="G185" s="343" t="s">
        <v>1622</v>
      </c>
      <c r="H185" s="344" t="s">
        <v>1627</v>
      </c>
    </row>
    <row r="186" spans="1:8" ht="25.5" x14ac:dyDescent="0.25">
      <c r="A186" s="405" t="s">
        <v>1640</v>
      </c>
      <c r="B186" s="406" t="s">
        <v>1616</v>
      </c>
      <c r="C186" s="404" t="s">
        <v>1631</v>
      </c>
      <c r="D186" s="404"/>
      <c r="E186" s="404" t="s">
        <v>1637</v>
      </c>
      <c r="F186" s="404" t="s">
        <v>1031</v>
      </c>
      <c r="G186" s="343" t="s">
        <v>1632</v>
      </c>
      <c r="H186" s="344" t="s">
        <v>14</v>
      </c>
    </row>
    <row r="187" spans="1:8" ht="38.25" x14ac:dyDescent="0.25">
      <c r="A187" s="405"/>
      <c r="B187" s="406"/>
      <c r="C187" s="404"/>
      <c r="D187" s="404"/>
      <c r="E187" s="404"/>
      <c r="F187" s="404"/>
      <c r="G187" s="343" t="s">
        <v>1633</v>
      </c>
      <c r="H187" s="344" t="s">
        <v>1635</v>
      </c>
    </row>
    <row r="188" spans="1:8" ht="25.5" x14ac:dyDescent="0.25">
      <c r="A188" s="405"/>
      <c r="B188" s="406"/>
      <c r="C188" s="404"/>
      <c r="D188" s="404"/>
      <c r="E188" s="404"/>
      <c r="F188" s="404"/>
      <c r="G188" s="343" t="s">
        <v>1634</v>
      </c>
      <c r="H188" s="344" t="s">
        <v>1636</v>
      </c>
    </row>
    <row r="189" spans="1:8" ht="40.5" customHeight="1" x14ac:dyDescent="0.25"/>
    <row r="190" spans="1:8" ht="40.5" customHeight="1" x14ac:dyDescent="0.25"/>
    <row r="191" spans="1:8" ht="40.5" customHeight="1" x14ac:dyDescent="0.25"/>
    <row r="192" spans="1:8" ht="40.5" customHeight="1" x14ac:dyDescent="0.25"/>
  </sheetData>
  <sheetProtection formatCells="0" formatColumns="0" formatRows="0" insertColumns="0" insertRows="0" deleteColumns="0" deleteRows="0"/>
  <autoFilter ref="A1:H188" xr:uid="{00000000-0001-0000-0000-000000000000}"/>
  <mergeCells count="324">
    <mergeCell ref="A22:A23"/>
    <mergeCell ref="B22:B23"/>
    <mergeCell ref="C22:C23"/>
    <mergeCell ref="D22:D23"/>
    <mergeCell ref="E22:E23"/>
    <mergeCell ref="F22:F23"/>
    <mergeCell ref="A18:A21"/>
    <mergeCell ref="B18:B21"/>
    <mergeCell ref="C18:C21"/>
    <mergeCell ref="D18:D21"/>
    <mergeCell ref="E18:E21"/>
    <mergeCell ref="F18:F21"/>
    <mergeCell ref="F2:F5"/>
    <mergeCell ref="A2:A5"/>
    <mergeCell ref="B2:B5"/>
    <mergeCell ref="C2:C5"/>
    <mergeCell ref="D2:D5"/>
    <mergeCell ref="E2:E5"/>
    <mergeCell ref="A14:A17"/>
    <mergeCell ref="B14:B17"/>
    <mergeCell ref="C14:C17"/>
    <mergeCell ref="D14:D17"/>
    <mergeCell ref="E14:E17"/>
    <mergeCell ref="A11:A12"/>
    <mergeCell ref="B11:B12"/>
    <mergeCell ref="C11:C12"/>
    <mergeCell ref="D11:D12"/>
    <mergeCell ref="E11:E12"/>
    <mergeCell ref="F14:F17"/>
    <mergeCell ref="F11:F12"/>
    <mergeCell ref="A7:A10"/>
    <mergeCell ref="B7:B10"/>
    <mergeCell ref="C7:C10"/>
    <mergeCell ref="D7:D10"/>
    <mergeCell ref="E7:E10"/>
    <mergeCell ref="F7:F10"/>
    <mergeCell ref="F24:F27"/>
    <mergeCell ref="A28:A29"/>
    <mergeCell ref="B28:B29"/>
    <mergeCell ref="C28:C29"/>
    <mergeCell ref="D28:D29"/>
    <mergeCell ref="E28:E29"/>
    <mergeCell ref="F28:F29"/>
    <mergeCell ref="A24:A27"/>
    <mergeCell ref="B24:B27"/>
    <mergeCell ref="C24:C27"/>
    <mergeCell ref="D24:D27"/>
    <mergeCell ref="E24:E27"/>
    <mergeCell ref="A32:A35"/>
    <mergeCell ref="B32:B35"/>
    <mergeCell ref="C32:C35"/>
    <mergeCell ref="D32:D35"/>
    <mergeCell ref="E32:E35"/>
    <mergeCell ref="F32:F35"/>
    <mergeCell ref="A30:A31"/>
    <mergeCell ref="B30:B31"/>
    <mergeCell ref="C30:C31"/>
    <mergeCell ref="D30:D31"/>
    <mergeCell ref="E30:E31"/>
    <mergeCell ref="F30:F31"/>
    <mergeCell ref="A42:A45"/>
    <mergeCell ref="B42:B45"/>
    <mergeCell ref="C42:C45"/>
    <mergeCell ref="D42:D45"/>
    <mergeCell ref="E42:E45"/>
    <mergeCell ref="F42:F45"/>
    <mergeCell ref="F36:F38"/>
    <mergeCell ref="A39:A41"/>
    <mergeCell ref="B39:B41"/>
    <mergeCell ref="C39:C41"/>
    <mergeCell ref="D39:D41"/>
    <mergeCell ref="E39:E41"/>
    <mergeCell ref="F39:F41"/>
    <mergeCell ref="A36:A38"/>
    <mergeCell ref="B36:B38"/>
    <mergeCell ref="C36:C38"/>
    <mergeCell ref="D36:D38"/>
    <mergeCell ref="E36:E38"/>
    <mergeCell ref="A52:A53"/>
    <mergeCell ref="B52:B53"/>
    <mergeCell ref="C52:C53"/>
    <mergeCell ref="D52:D53"/>
    <mergeCell ref="E52:E53"/>
    <mergeCell ref="F52:F53"/>
    <mergeCell ref="F47:F49"/>
    <mergeCell ref="A47:A49"/>
    <mergeCell ref="B47:B49"/>
    <mergeCell ref="C47:C49"/>
    <mergeCell ref="D47:D49"/>
    <mergeCell ref="E47:E49"/>
    <mergeCell ref="A60:A61"/>
    <mergeCell ref="B60:B61"/>
    <mergeCell ref="C60:C61"/>
    <mergeCell ref="D60:D61"/>
    <mergeCell ref="E60:E61"/>
    <mergeCell ref="F60:F61"/>
    <mergeCell ref="A55:A58"/>
    <mergeCell ref="B55:B58"/>
    <mergeCell ref="C55:C58"/>
    <mergeCell ref="D55:D58"/>
    <mergeCell ref="E55:E58"/>
    <mergeCell ref="F55:F58"/>
    <mergeCell ref="F62:F64"/>
    <mergeCell ref="A65:A67"/>
    <mergeCell ref="B65:B67"/>
    <mergeCell ref="C65:C67"/>
    <mergeCell ref="D65:D67"/>
    <mergeCell ref="E65:E67"/>
    <mergeCell ref="A62:A64"/>
    <mergeCell ref="B62:B64"/>
    <mergeCell ref="C62:C64"/>
    <mergeCell ref="D62:D64"/>
    <mergeCell ref="E62:E64"/>
    <mergeCell ref="F65:F67"/>
    <mergeCell ref="A71:A73"/>
    <mergeCell ref="B71:B73"/>
    <mergeCell ref="C71:C73"/>
    <mergeCell ref="D71:D73"/>
    <mergeCell ref="E71:E73"/>
    <mergeCell ref="F71:F73"/>
    <mergeCell ref="A68:A70"/>
    <mergeCell ref="B68:B70"/>
    <mergeCell ref="C68:C70"/>
    <mergeCell ref="D68:D70"/>
    <mergeCell ref="E68:E70"/>
    <mergeCell ref="F68:F70"/>
    <mergeCell ref="A78:A80"/>
    <mergeCell ref="B78:B80"/>
    <mergeCell ref="C78:C80"/>
    <mergeCell ref="D78:D80"/>
    <mergeCell ref="E78:E80"/>
    <mergeCell ref="F78:F80"/>
    <mergeCell ref="F74:F75"/>
    <mergeCell ref="A76:A77"/>
    <mergeCell ref="B76:B77"/>
    <mergeCell ref="C76:C77"/>
    <mergeCell ref="D76:D77"/>
    <mergeCell ref="E76:E77"/>
    <mergeCell ref="F76:F77"/>
    <mergeCell ref="A74:A75"/>
    <mergeCell ref="B74:B75"/>
    <mergeCell ref="C74:C75"/>
    <mergeCell ref="D74:D75"/>
    <mergeCell ref="E74:E75"/>
    <mergeCell ref="A85:A87"/>
    <mergeCell ref="B85:B87"/>
    <mergeCell ref="C85:C87"/>
    <mergeCell ref="D85:D87"/>
    <mergeCell ref="E85:E87"/>
    <mergeCell ref="F85:F87"/>
    <mergeCell ref="A81:A83"/>
    <mergeCell ref="B81:B83"/>
    <mergeCell ref="C81:C83"/>
    <mergeCell ref="D81:D83"/>
    <mergeCell ref="E81:E83"/>
    <mergeCell ref="F81:F83"/>
    <mergeCell ref="A90:A93"/>
    <mergeCell ref="B90:B93"/>
    <mergeCell ref="C90:C93"/>
    <mergeCell ref="D90:D93"/>
    <mergeCell ref="E90:E93"/>
    <mergeCell ref="F90:F93"/>
    <mergeCell ref="A88:A89"/>
    <mergeCell ref="B88:B89"/>
    <mergeCell ref="C88:C89"/>
    <mergeCell ref="D88:D89"/>
    <mergeCell ref="E88:E89"/>
    <mergeCell ref="F88:F89"/>
    <mergeCell ref="F94:F100"/>
    <mergeCell ref="A101:A104"/>
    <mergeCell ref="B101:B104"/>
    <mergeCell ref="C101:C104"/>
    <mergeCell ref="D101:D104"/>
    <mergeCell ref="E101:E104"/>
    <mergeCell ref="F101:F104"/>
    <mergeCell ref="A94:A100"/>
    <mergeCell ref="B94:B100"/>
    <mergeCell ref="C94:C100"/>
    <mergeCell ref="D94:D100"/>
    <mergeCell ref="E94:E100"/>
    <mergeCell ref="A115:A117"/>
    <mergeCell ref="B115:B117"/>
    <mergeCell ref="C115:C117"/>
    <mergeCell ref="D115:D117"/>
    <mergeCell ref="E115:E117"/>
    <mergeCell ref="F115:F117"/>
    <mergeCell ref="A105:A114"/>
    <mergeCell ref="B105:B114"/>
    <mergeCell ref="C105:C114"/>
    <mergeCell ref="D105:D114"/>
    <mergeCell ref="E105:E114"/>
    <mergeCell ref="F105:F114"/>
    <mergeCell ref="F118:F119"/>
    <mergeCell ref="A120:A123"/>
    <mergeCell ref="B120:B123"/>
    <mergeCell ref="C120:C123"/>
    <mergeCell ref="D120:D123"/>
    <mergeCell ref="E120:E123"/>
    <mergeCell ref="F120:F123"/>
    <mergeCell ref="A118:A119"/>
    <mergeCell ref="B118:B119"/>
    <mergeCell ref="C118:C119"/>
    <mergeCell ref="D118:D119"/>
    <mergeCell ref="E118:E119"/>
    <mergeCell ref="A126:A127"/>
    <mergeCell ref="B126:B127"/>
    <mergeCell ref="C126:C127"/>
    <mergeCell ref="D126:D127"/>
    <mergeCell ref="E126:E127"/>
    <mergeCell ref="F126:F127"/>
    <mergeCell ref="A124:A125"/>
    <mergeCell ref="B124:B125"/>
    <mergeCell ref="C124:C125"/>
    <mergeCell ref="D124:D125"/>
    <mergeCell ref="E124:E125"/>
    <mergeCell ref="F124:F125"/>
    <mergeCell ref="A137:A140"/>
    <mergeCell ref="B137:B140"/>
    <mergeCell ref="C137:C140"/>
    <mergeCell ref="D137:D140"/>
    <mergeCell ref="E137:E140"/>
    <mergeCell ref="F137:F140"/>
    <mergeCell ref="A130:A136"/>
    <mergeCell ref="B130:B136"/>
    <mergeCell ref="C130:C136"/>
    <mergeCell ref="D130:D136"/>
    <mergeCell ref="E130:E136"/>
    <mergeCell ref="F130:F136"/>
    <mergeCell ref="F141:F144"/>
    <mergeCell ref="A145:A148"/>
    <mergeCell ref="B145:B148"/>
    <mergeCell ref="C145:C148"/>
    <mergeCell ref="D145:D148"/>
    <mergeCell ref="E145:E148"/>
    <mergeCell ref="F145:F148"/>
    <mergeCell ref="A141:A144"/>
    <mergeCell ref="B141:B144"/>
    <mergeCell ref="C141:C144"/>
    <mergeCell ref="D141:D144"/>
    <mergeCell ref="E141:E144"/>
    <mergeCell ref="A153:A155"/>
    <mergeCell ref="B153:B155"/>
    <mergeCell ref="C153:C155"/>
    <mergeCell ref="D153:D155"/>
    <mergeCell ref="E153:E155"/>
    <mergeCell ref="F153:F155"/>
    <mergeCell ref="A149:A152"/>
    <mergeCell ref="B149:B152"/>
    <mergeCell ref="C149:C152"/>
    <mergeCell ref="D149:D152"/>
    <mergeCell ref="E149:E152"/>
    <mergeCell ref="F149:F152"/>
    <mergeCell ref="F156:F157"/>
    <mergeCell ref="A158:A159"/>
    <mergeCell ref="B158:B159"/>
    <mergeCell ref="C158:C159"/>
    <mergeCell ref="D158:D159"/>
    <mergeCell ref="E158:E159"/>
    <mergeCell ref="F158:F159"/>
    <mergeCell ref="A156:A157"/>
    <mergeCell ref="B156:B157"/>
    <mergeCell ref="C156:C157"/>
    <mergeCell ref="D156:D157"/>
    <mergeCell ref="E156:E157"/>
    <mergeCell ref="A162:A164"/>
    <mergeCell ref="B162:B164"/>
    <mergeCell ref="C162:C164"/>
    <mergeCell ref="D162:D164"/>
    <mergeCell ref="E162:E164"/>
    <mergeCell ref="F162:F164"/>
    <mergeCell ref="A160:A161"/>
    <mergeCell ref="B160:B161"/>
    <mergeCell ref="C160:C161"/>
    <mergeCell ref="D160:D161"/>
    <mergeCell ref="E160:E161"/>
    <mergeCell ref="F160:F161"/>
    <mergeCell ref="A171:A172"/>
    <mergeCell ref="B171:B172"/>
    <mergeCell ref="C171:C172"/>
    <mergeCell ref="D171:D172"/>
    <mergeCell ref="E171:E172"/>
    <mergeCell ref="F171:F172"/>
    <mergeCell ref="F165:F168"/>
    <mergeCell ref="A169:A170"/>
    <mergeCell ref="B169:B170"/>
    <mergeCell ref="C169:C170"/>
    <mergeCell ref="D169:D170"/>
    <mergeCell ref="E169:E170"/>
    <mergeCell ref="F169:F170"/>
    <mergeCell ref="A165:A168"/>
    <mergeCell ref="B165:B168"/>
    <mergeCell ref="C165:C168"/>
    <mergeCell ref="D165:D168"/>
    <mergeCell ref="E165:E168"/>
    <mergeCell ref="A179:A180"/>
    <mergeCell ref="B179:B180"/>
    <mergeCell ref="C179:C180"/>
    <mergeCell ref="D179:D180"/>
    <mergeCell ref="E179:E180"/>
    <mergeCell ref="F179:F180"/>
    <mergeCell ref="F174:F175"/>
    <mergeCell ref="A176:A178"/>
    <mergeCell ref="B176:B178"/>
    <mergeCell ref="C176:C178"/>
    <mergeCell ref="D176:D178"/>
    <mergeCell ref="E176:E178"/>
    <mergeCell ref="F176:F178"/>
    <mergeCell ref="A174:A175"/>
    <mergeCell ref="B174:B175"/>
    <mergeCell ref="C174:C175"/>
    <mergeCell ref="D174:D175"/>
    <mergeCell ref="E174:E175"/>
    <mergeCell ref="F186:F188"/>
    <mergeCell ref="A186:A188"/>
    <mergeCell ref="B186:B188"/>
    <mergeCell ref="C186:C188"/>
    <mergeCell ref="D186:D188"/>
    <mergeCell ref="E186:E188"/>
    <mergeCell ref="A181:A185"/>
    <mergeCell ref="B181:B185"/>
    <mergeCell ref="C181:C185"/>
    <mergeCell ref="D181:D185"/>
    <mergeCell ref="E181:E185"/>
    <mergeCell ref="F181:F185"/>
  </mergeCells>
  <conditionalFormatting sqref="A6:F51">
    <cfRule type="expression" dxfId="187" priority="18">
      <formula>#REF!="X"</formula>
    </cfRule>
  </conditionalFormatting>
  <conditionalFormatting sqref="A1:H5 G6:G53">
    <cfRule type="expression" dxfId="186" priority="25">
      <formula>#REF!="X"</formula>
    </cfRule>
  </conditionalFormatting>
  <conditionalFormatting sqref="A52:H1048576">
    <cfRule type="expression" dxfId="185" priority="1">
      <formula>#REF!="X"</formula>
    </cfRule>
  </conditionalFormatting>
  <conditionalFormatting sqref="H1:H1048576">
    <cfRule type="expression" dxfId="184" priority="384">
      <formula>LEFT(#REF!,3)="ERR"</formula>
    </cfRule>
    <cfRule type="expression" dxfId="183" priority="385">
      <formula>AND($H1&lt;&gt;"",#REF!="")</formula>
    </cfRule>
    <cfRule type="expression" dxfId="182" priority="386">
      <formula>AND($H1="",#REF!&lt;&gt;"")</formula>
    </cfRule>
  </conditionalFormatting>
  <conditionalFormatting sqref="H6:H51">
    <cfRule type="expression" dxfId="181" priority="21">
      <formula>#REF!="X"</formula>
    </cfRule>
  </conditionalFormatting>
  <dataValidations count="3">
    <dataValidation type="list" allowBlank="1" showInputMessage="1" showErrorMessage="1" sqref="D2:D188" xr:uid="{11646FB2-9FC1-4CCA-8AC7-A75DC9DF1177}">
      <formula1>"X"</formula1>
    </dataValidation>
    <dataValidation type="list" allowBlank="1" showInputMessage="1" showErrorMessage="1" sqref="A2:A188" xr:uid="{DDE07B0A-C8F0-44B8-88C3-E0046C724AB5}">
      <formula1>"IFT,PLG,GST,IDP"</formula1>
    </dataValidation>
    <dataValidation type="list" allowBlank="1" showInputMessage="1" showErrorMessage="1" sqref="B2:B188" xr:uid="{7956E932-F831-4255-B35C-DFED8B30378C}">
      <formula1>INDIRECT(A2)</formula1>
    </dataValidation>
  </dataValidations>
  <pageMargins left="0.23622047244094491" right="0.23622047244094491" top="0.74803149606299213" bottom="0.74803149606299213" header="0.31496062992125984" footer="0.31496062992125984"/>
  <pageSetup paperSize="9" scale="19" fitToHeight="0" orientation="landscape" horizontalDpi="4294967295" verticalDpi="4294967295" r:id="rId1"/>
  <rowBreaks count="6" manualBreakCount="6">
    <brk id="23" max="21" man="1"/>
    <brk id="152" max="21" man="1"/>
    <brk id="58" max="21" man="1"/>
    <brk id="83" max="21" man="1"/>
    <brk id="104" max="21" man="1"/>
    <brk id="49"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8F777-8A33-5D48-B422-89DA13E930BF}">
  <sheetPr codeName="Hoja13">
    <tabColor rgb="FF92D050"/>
  </sheetPr>
  <dimension ref="B3:J33"/>
  <sheetViews>
    <sheetView showGridLines="0" zoomScale="55" zoomScaleNormal="55" workbookViewId="0">
      <selection sqref="A1:I58"/>
    </sheetView>
  </sheetViews>
  <sheetFormatPr baseColWidth="10" defaultColWidth="11" defaultRowHeight="15.75" x14ac:dyDescent="0.25"/>
  <cols>
    <col min="1" max="1" width="3.375" customWidth="1"/>
    <col min="2" max="2" width="30.5" customWidth="1"/>
    <col min="3" max="3" width="31" style="3" customWidth="1"/>
    <col min="4" max="4" width="30" customWidth="1"/>
    <col min="5" max="5" width="58" bestFit="1" customWidth="1"/>
    <col min="6" max="8" width="16.125" customWidth="1"/>
    <col min="9" max="9" width="21.125" bestFit="1" customWidth="1"/>
    <col min="10" max="10" width="36.625" customWidth="1"/>
    <col min="12" max="12" width="12.125" bestFit="1" customWidth="1"/>
  </cols>
  <sheetData>
    <row r="3" spans="2:10" ht="129" customHeight="1" thickBot="1" x14ac:dyDescent="0.4">
      <c r="B3" s="244"/>
      <c r="C3" s="410" t="s">
        <v>1761</v>
      </c>
      <c r="D3" s="410"/>
      <c r="E3" s="410"/>
      <c r="F3" s="410"/>
      <c r="G3" s="410"/>
      <c r="H3" s="410"/>
      <c r="I3" s="410"/>
      <c r="J3" s="245"/>
    </row>
    <row r="4" spans="2:10" s="1" customFormat="1" ht="18" customHeight="1" thickBot="1" x14ac:dyDescent="0.3">
      <c r="B4" s="246"/>
      <c r="C4" s="2"/>
      <c r="D4" s="2"/>
      <c r="E4" s="2"/>
      <c r="F4" s="34" t="s">
        <v>774</v>
      </c>
      <c r="G4" s="34"/>
      <c r="H4" s="34"/>
      <c r="I4" s="2"/>
      <c r="J4" s="247" t="s">
        <v>777</v>
      </c>
    </row>
    <row r="5" spans="2:10" s="1" customFormat="1" ht="18.95" hidden="1" customHeight="1" thickBot="1" x14ac:dyDescent="0.4">
      <c r="B5" s="246"/>
      <c r="C5" s="2"/>
      <c r="D5" s="2"/>
      <c r="E5" s="2"/>
      <c r="F5" s="248" t="s">
        <v>782</v>
      </c>
      <c r="G5" s="249"/>
      <c r="H5" s="250"/>
      <c r="I5" s="2"/>
      <c r="J5" s="251">
        <v>45302</v>
      </c>
    </row>
    <row r="6" spans="2:10" s="1" customFormat="1" ht="18.95" customHeight="1" thickBot="1" x14ac:dyDescent="0.3">
      <c r="B6" s="246"/>
      <c r="C6" s="2"/>
      <c r="D6" s="2"/>
      <c r="E6" s="2"/>
      <c r="F6" s="252" t="s">
        <v>778</v>
      </c>
      <c r="G6" s="253">
        <f>+COUNTIF($I$12:$I$33,F6)</f>
        <v>0</v>
      </c>
      <c r="H6" s="254">
        <f>IFERROR(G6/$G$9,0)</f>
        <v>0</v>
      </c>
      <c r="I6" s="2"/>
      <c r="J6" s="251"/>
    </row>
    <row r="7" spans="2:10" s="1" customFormat="1" ht="18.95" customHeight="1" x14ac:dyDescent="0.25">
      <c r="B7" s="246"/>
      <c r="C7" s="2"/>
      <c r="D7" s="2"/>
      <c r="E7" s="2"/>
      <c r="F7" s="255" t="s">
        <v>780</v>
      </c>
      <c r="G7" s="253">
        <f>+COUNTIF($I$12:$I$33,F7)</f>
        <v>0</v>
      </c>
      <c r="H7" s="254">
        <f>IFERROR(G7/$G$9,0)</f>
        <v>0</v>
      </c>
      <c r="I7" s="2"/>
      <c r="J7" s="256"/>
    </row>
    <row r="8" spans="2:10" ht="18.95" customHeight="1" x14ac:dyDescent="0.35">
      <c r="B8" s="257"/>
      <c r="C8" s="258"/>
      <c r="D8" s="259"/>
      <c r="E8" s="259"/>
      <c r="F8" s="260" t="s">
        <v>779</v>
      </c>
      <c r="G8" s="253">
        <f>+COUNTIF($I$12:$I$33,F8)</f>
        <v>0</v>
      </c>
      <c r="H8" s="254">
        <f>IFERROR(G8/$G$9,0)</f>
        <v>0</v>
      </c>
      <c r="I8" s="259"/>
      <c r="J8" s="261"/>
    </row>
    <row r="9" spans="2:10" ht="18.95" customHeight="1" x14ac:dyDescent="0.35">
      <c r="B9" s="257"/>
      <c r="C9" s="258"/>
      <c r="D9" s="259"/>
      <c r="E9" s="259"/>
      <c r="F9" s="262" t="s">
        <v>781</v>
      </c>
      <c r="G9" s="263">
        <f>+SUM(G6:G8)</f>
        <v>0</v>
      </c>
      <c r="H9" s="264">
        <f>IFERROR(G9/$G$9,0)</f>
        <v>0</v>
      </c>
      <c r="I9" s="265"/>
      <c r="J9" s="266"/>
    </row>
    <row r="10" spans="2:10" s="1" customFormat="1" ht="18.95" customHeight="1" thickBot="1" x14ac:dyDescent="0.4">
      <c r="B10" s="267"/>
      <c r="C10" s="268"/>
      <c r="D10" s="269"/>
      <c r="E10" s="270"/>
      <c r="F10" s="270"/>
      <c r="G10" s="270"/>
      <c r="H10" s="270"/>
      <c r="I10" s="271"/>
      <c r="J10" s="272"/>
    </row>
    <row r="11" spans="2:10" ht="35.1" customHeight="1" thickBot="1" x14ac:dyDescent="0.3">
      <c r="B11" s="273" t="s">
        <v>1664</v>
      </c>
      <c r="C11" s="273" t="s">
        <v>517</v>
      </c>
      <c r="D11" s="273" t="s">
        <v>118</v>
      </c>
      <c r="E11" s="273" t="s">
        <v>770</v>
      </c>
      <c r="F11" s="273" t="s">
        <v>773</v>
      </c>
      <c r="G11" s="273" t="s">
        <v>775</v>
      </c>
      <c r="H11" s="273" t="s">
        <v>776</v>
      </c>
      <c r="I11" s="273" t="s">
        <v>771</v>
      </c>
      <c r="J11" s="273" t="s">
        <v>772</v>
      </c>
    </row>
    <row r="12" spans="2:10" ht="18.95" customHeight="1" x14ac:dyDescent="0.25">
      <c r="B12" s="35"/>
      <c r="C12" s="31"/>
      <c r="D12" s="30"/>
      <c r="E12" s="30"/>
      <c r="F12" s="30"/>
      <c r="G12" s="32"/>
      <c r="H12" s="32"/>
      <c r="I12" s="29" t="s">
        <v>782</v>
      </c>
      <c r="J12" s="33"/>
    </row>
    <row r="13" spans="2:10" ht="18.95" customHeight="1" x14ac:dyDescent="0.25">
      <c r="B13" s="36"/>
      <c r="C13" s="25"/>
      <c r="D13" s="21"/>
      <c r="E13" s="21"/>
      <c r="F13" s="21"/>
      <c r="G13" s="24"/>
      <c r="H13" s="24"/>
      <c r="I13" s="20" t="s">
        <v>782</v>
      </c>
      <c r="J13" s="22"/>
    </row>
    <row r="14" spans="2:10" ht="18.95" customHeight="1" x14ac:dyDescent="0.25">
      <c r="B14" s="36"/>
      <c r="C14" s="25"/>
      <c r="D14" s="21"/>
      <c r="E14" s="21"/>
      <c r="F14" s="21"/>
      <c r="G14" s="24"/>
      <c r="H14" s="24"/>
      <c r="I14" s="20" t="s">
        <v>782</v>
      </c>
      <c r="J14" s="22"/>
    </row>
    <row r="15" spans="2:10" ht="18.95" customHeight="1" x14ac:dyDescent="0.25">
      <c r="B15" s="36"/>
      <c r="C15" s="25"/>
      <c r="D15" s="21"/>
      <c r="E15" s="21"/>
      <c r="F15" s="21"/>
      <c r="G15" s="21"/>
      <c r="H15" s="21"/>
      <c r="I15" s="20" t="s">
        <v>782</v>
      </c>
      <c r="J15" s="22"/>
    </row>
    <row r="16" spans="2:10" ht="18.95" customHeight="1" x14ac:dyDescent="0.25">
      <c r="B16" s="36"/>
      <c r="C16" s="25"/>
      <c r="D16" s="21"/>
      <c r="E16" s="21"/>
      <c r="F16" s="21"/>
      <c r="G16" s="21"/>
      <c r="H16" s="21"/>
      <c r="I16" s="20" t="s">
        <v>782</v>
      </c>
      <c r="J16" s="22"/>
    </row>
    <row r="17" spans="2:10" ht="18.95" customHeight="1" x14ac:dyDescent="0.25">
      <c r="B17" s="36"/>
      <c r="C17" s="25"/>
      <c r="D17" s="21"/>
      <c r="E17" s="21"/>
      <c r="F17" s="21"/>
      <c r="G17" s="21"/>
      <c r="H17" s="21"/>
      <c r="I17" s="20" t="s">
        <v>782</v>
      </c>
      <c r="J17" s="22"/>
    </row>
    <row r="18" spans="2:10" ht="18.95" customHeight="1" x14ac:dyDescent="0.25">
      <c r="B18" s="36"/>
      <c r="C18" s="25"/>
      <c r="D18" s="21"/>
      <c r="E18" s="21"/>
      <c r="F18" s="21"/>
      <c r="G18" s="21"/>
      <c r="H18" s="21"/>
      <c r="I18" s="20" t="s">
        <v>782</v>
      </c>
      <c r="J18" s="22"/>
    </row>
    <row r="19" spans="2:10" ht="18.95" customHeight="1" x14ac:dyDescent="0.25">
      <c r="B19" s="36"/>
      <c r="C19" s="25"/>
      <c r="D19" s="21"/>
      <c r="E19" s="21"/>
      <c r="F19" s="21"/>
      <c r="G19" s="21"/>
      <c r="H19" s="21"/>
      <c r="I19" s="20" t="s">
        <v>782</v>
      </c>
      <c r="J19" s="22"/>
    </row>
    <row r="20" spans="2:10" ht="18.95" customHeight="1" x14ac:dyDescent="0.25">
      <c r="B20" s="36"/>
      <c r="C20" s="25"/>
      <c r="D20" s="21"/>
      <c r="E20" s="21"/>
      <c r="F20" s="21"/>
      <c r="G20" s="21"/>
      <c r="H20" s="21"/>
      <c r="I20" s="20" t="s">
        <v>782</v>
      </c>
      <c r="J20" s="22"/>
    </row>
    <row r="21" spans="2:10" ht="18.95" customHeight="1" x14ac:dyDescent="0.25">
      <c r="B21" s="37"/>
      <c r="C21" s="25"/>
      <c r="D21" s="21"/>
      <c r="E21" s="21"/>
      <c r="F21" s="21"/>
      <c r="G21" s="21"/>
      <c r="H21" s="21"/>
      <c r="I21" s="20" t="s">
        <v>782</v>
      </c>
      <c r="J21" s="22"/>
    </row>
    <row r="22" spans="2:10" ht="18.95" customHeight="1" x14ac:dyDescent="0.25">
      <c r="B22" s="36"/>
      <c r="C22" s="25"/>
      <c r="D22" s="21"/>
      <c r="E22" s="21"/>
      <c r="F22" s="21"/>
      <c r="G22" s="21"/>
      <c r="H22" s="21"/>
      <c r="I22" s="20" t="s">
        <v>782</v>
      </c>
      <c r="J22" s="22"/>
    </row>
    <row r="23" spans="2:10" ht="18.95" customHeight="1" x14ac:dyDescent="0.25">
      <c r="B23" s="36"/>
      <c r="C23" s="25"/>
      <c r="D23" s="21"/>
      <c r="E23" s="21"/>
      <c r="F23" s="21"/>
      <c r="G23" s="21"/>
      <c r="H23" s="21"/>
      <c r="I23" s="20" t="s">
        <v>782</v>
      </c>
      <c r="J23" s="22"/>
    </row>
    <row r="24" spans="2:10" ht="18.95" customHeight="1" x14ac:dyDescent="0.25">
      <c r="B24" s="36"/>
      <c r="C24" s="25"/>
      <c r="D24" s="21"/>
      <c r="E24" s="21"/>
      <c r="F24" s="21"/>
      <c r="G24" s="21"/>
      <c r="H24" s="21"/>
      <c r="I24" s="20" t="s">
        <v>782</v>
      </c>
      <c r="J24" s="22"/>
    </row>
    <row r="25" spans="2:10" ht="18.95" customHeight="1" x14ac:dyDescent="0.25">
      <c r="B25" s="36"/>
      <c r="C25" s="25"/>
      <c r="D25" s="21"/>
      <c r="E25" s="21"/>
      <c r="F25" s="21"/>
      <c r="G25" s="21"/>
      <c r="H25" s="21"/>
      <c r="I25" s="20" t="s">
        <v>782</v>
      </c>
      <c r="J25" s="22"/>
    </row>
    <row r="26" spans="2:10" ht="18.95" customHeight="1" x14ac:dyDescent="0.25">
      <c r="B26" s="36"/>
      <c r="C26" s="25"/>
      <c r="D26" s="21"/>
      <c r="E26" s="21"/>
      <c r="F26" s="21"/>
      <c r="G26" s="21"/>
      <c r="H26" s="21"/>
      <c r="I26" s="20" t="s">
        <v>782</v>
      </c>
      <c r="J26" s="22"/>
    </row>
    <row r="27" spans="2:10" ht="18.95" customHeight="1" x14ac:dyDescent="0.25">
      <c r="B27" s="36"/>
      <c r="C27" s="25"/>
      <c r="D27" s="21"/>
      <c r="E27" s="21"/>
      <c r="F27" s="21"/>
      <c r="G27" s="21"/>
      <c r="H27" s="21"/>
      <c r="I27" s="20" t="s">
        <v>782</v>
      </c>
      <c r="J27" s="22"/>
    </row>
    <row r="28" spans="2:10" ht="18.95" customHeight="1" x14ac:dyDescent="0.25">
      <c r="B28" s="36"/>
      <c r="C28" s="25"/>
      <c r="D28" s="21"/>
      <c r="E28" s="21"/>
      <c r="F28" s="21"/>
      <c r="G28" s="21"/>
      <c r="H28" s="21"/>
      <c r="I28" s="20" t="s">
        <v>782</v>
      </c>
      <c r="J28" s="22"/>
    </row>
    <row r="29" spans="2:10" ht="18.95" customHeight="1" x14ac:dyDescent="0.25">
      <c r="B29" s="36"/>
      <c r="C29" s="25"/>
      <c r="D29" s="21"/>
      <c r="E29" s="21"/>
      <c r="F29" s="21"/>
      <c r="G29" s="21"/>
      <c r="H29" s="21"/>
      <c r="I29" s="20" t="s">
        <v>782</v>
      </c>
      <c r="J29" s="22"/>
    </row>
    <row r="30" spans="2:10" ht="18.95" customHeight="1" x14ac:dyDescent="0.25">
      <c r="B30" s="36"/>
      <c r="C30" s="25"/>
      <c r="D30" s="21"/>
      <c r="E30" s="21"/>
      <c r="F30" s="21"/>
      <c r="G30" s="21"/>
      <c r="H30" s="21"/>
      <c r="I30" s="20" t="s">
        <v>782</v>
      </c>
      <c r="J30" s="22"/>
    </row>
    <row r="31" spans="2:10" ht="18.95" customHeight="1" x14ac:dyDescent="0.25">
      <c r="B31" s="36"/>
      <c r="C31" s="25"/>
      <c r="D31" s="21"/>
      <c r="E31" s="21"/>
      <c r="F31" s="21"/>
      <c r="G31" s="21"/>
      <c r="H31" s="21"/>
      <c r="I31" s="20" t="s">
        <v>782</v>
      </c>
      <c r="J31" s="22"/>
    </row>
    <row r="32" spans="2:10" ht="18.95" customHeight="1" x14ac:dyDescent="0.25">
      <c r="B32" s="36"/>
      <c r="C32" s="25"/>
      <c r="D32" s="21"/>
      <c r="E32" s="21"/>
      <c r="F32" s="21"/>
      <c r="G32" s="21"/>
      <c r="H32" s="21"/>
      <c r="I32" s="20" t="s">
        <v>782</v>
      </c>
      <c r="J32" s="22"/>
    </row>
    <row r="33" spans="2:10" ht="18.95" customHeight="1" thickBot="1" x14ac:dyDescent="0.3">
      <c r="B33" s="38"/>
      <c r="C33" s="26"/>
      <c r="D33" s="27"/>
      <c r="E33" s="27"/>
      <c r="F33" s="27"/>
      <c r="G33" s="27"/>
      <c r="H33" s="27"/>
      <c r="I33" s="28" t="s">
        <v>782</v>
      </c>
      <c r="J33" s="23"/>
    </row>
  </sheetData>
  <mergeCells count="1">
    <mergeCell ref="C3:I3"/>
  </mergeCells>
  <conditionalFormatting sqref="J4 I12:I33">
    <cfRule type="cellIs" dxfId="180" priority="179" operator="equal">
      <formula>$F$7</formula>
    </cfRule>
    <cfRule type="cellIs" dxfId="179" priority="180" operator="equal">
      <formula>$F$8</formula>
    </cfRule>
    <cfRule type="cellIs" dxfId="178" priority="181" operator="equal">
      <formula>$F$6</formula>
    </cfRule>
  </conditionalFormatting>
  <dataValidations count="2">
    <dataValidation type="list" allowBlank="1" showInputMessage="1" showErrorMessage="1" sqref="I34:I1048576" xr:uid="{A155222C-696E-C24C-BA8E-03764829272A}">
      <formula1>#REF!</formula1>
    </dataValidation>
    <dataValidation type="list" allowBlank="1" showInputMessage="1" showErrorMessage="1" sqref="I12:I33" xr:uid="{8CD1E05A-AD6B-4447-AED9-5C7B82992C4D}">
      <formula1>$F$5:$F$8</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82" operator="containsText" id="{9CBEA83F-872E-8B4D-B659-EA0F87056E1C}">
            <xm:f>NOT(ISERROR(SEARCH(#REF!,I4)))</xm:f>
            <xm:f>#REF!</xm:f>
            <x14:dxf>
              <fill>
                <patternFill>
                  <bgColor rgb="FFFFFF00"/>
                </patternFill>
              </fill>
            </x14:dxf>
          </x14:cfRule>
          <xm:sqref>J4 I12:I33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EB5B-FFB1-4408-B982-E365988BD460}">
  <sheetPr>
    <tabColor theme="2" tint="-0.89999084444715716"/>
  </sheetPr>
  <dimension ref="A1"/>
  <sheetViews>
    <sheetView showGridLines="0" workbookViewId="0">
      <selection activeCell="F7" sqref="F7"/>
    </sheetView>
  </sheetViews>
  <sheetFormatPr baseColWidth="10" defaultRowHeight="15.7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6857F-C9DF-4A00-84D2-5C6B6664B1B4}">
  <sheetPr>
    <tabColor rgb="FF92D050"/>
  </sheetPr>
  <dimension ref="A1:AY50"/>
  <sheetViews>
    <sheetView showGridLines="0" showZeros="0" zoomScale="80" zoomScaleNormal="80" workbookViewId="0">
      <pane xSplit="24" ySplit="3" topLeftCell="Y4" activePane="bottomRight" state="frozen"/>
      <selection activeCell="F7" sqref="F7"/>
      <selection pane="topRight" activeCell="F7" sqref="F7"/>
      <selection pane="bottomLeft" activeCell="F7" sqref="F7"/>
      <selection pane="bottomRight" activeCell="F7" sqref="F7"/>
    </sheetView>
  </sheetViews>
  <sheetFormatPr baseColWidth="10" defaultColWidth="11" defaultRowHeight="21" x14ac:dyDescent="0.25"/>
  <cols>
    <col min="1" max="1" width="1.125" customWidth="1"/>
    <col min="2" max="2" width="36.125" customWidth="1"/>
    <col min="3" max="3" width="0.75" customWidth="1"/>
    <col min="4" max="4" width="8.75" customWidth="1"/>
    <col min="5" max="5" width="0.75" customWidth="1"/>
    <col min="6" max="6" width="11" style="2"/>
    <col min="7" max="7" width="1.25" customWidth="1"/>
    <col min="8" max="8" width="1.375" customWidth="1"/>
    <col min="11" max="11" width="9.25" customWidth="1"/>
    <col min="12" max="12" width="1.125" customWidth="1"/>
    <col min="13" max="13" width="11" style="2"/>
    <col min="16" max="16" width="1.25" customWidth="1"/>
    <col min="20" max="20" width="4.875" customWidth="1"/>
    <col min="22" max="22" width="6.875" customWidth="1"/>
    <col min="23" max="23" width="1.25" customWidth="1"/>
    <col min="24" max="24" width="16.125" customWidth="1"/>
  </cols>
  <sheetData>
    <row r="1" spans="1:51" x14ac:dyDescent="0.25">
      <c r="A1" s="83"/>
      <c r="B1" s="83"/>
      <c r="C1" s="83"/>
      <c r="D1" s="83"/>
      <c r="E1" s="83"/>
      <c r="F1" s="84"/>
      <c r="G1" s="83"/>
      <c r="H1" s="83"/>
      <c r="I1" s="83"/>
      <c r="J1" s="83"/>
      <c r="K1" s="83"/>
      <c r="L1" s="83"/>
      <c r="M1" s="84"/>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row>
    <row r="2" spans="1:51" x14ac:dyDescent="0.25">
      <c r="A2" s="83"/>
      <c r="B2" s="83"/>
      <c r="C2" s="83"/>
      <c r="D2" s="83"/>
      <c r="E2" s="83"/>
      <c r="F2" s="84"/>
      <c r="G2" s="83"/>
      <c r="H2" s="83"/>
      <c r="I2" s="83"/>
      <c r="J2" s="83"/>
      <c r="K2" s="83"/>
      <c r="L2" s="83"/>
      <c r="M2" s="84"/>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83"/>
      <c r="AX2" s="83"/>
      <c r="AY2" s="83"/>
    </row>
    <row r="3" spans="1:51" x14ac:dyDescent="0.25">
      <c r="A3" s="83"/>
      <c r="B3" s="83"/>
      <c r="C3" s="83"/>
      <c r="D3" s="83"/>
      <c r="E3" s="83"/>
      <c r="F3" s="84"/>
      <c r="G3" s="83"/>
      <c r="H3" s="83"/>
      <c r="I3" s="83"/>
      <c r="J3" s="83"/>
      <c r="K3" s="83"/>
      <c r="L3" s="83"/>
      <c r="M3" s="84"/>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row>
    <row r="4" spans="1:51" ht="10.5" customHeight="1" thickBot="1" x14ac:dyDescent="0.3">
      <c r="A4" s="83"/>
      <c r="B4" s="83"/>
      <c r="C4" s="83"/>
      <c r="D4" s="83"/>
      <c r="E4" s="83"/>
      <c r="F4" s="84"/>
      <c r="G4" s="83"/>
      <c r="H4" s="90"/>
      <c r="I4" s="83"/>
      <c r="J4" s="83"/>
      <c r="K4" s="83"/>
      <c r="L4" s="83"/>
      <c r="M4" s="84"/>
      <c r="N4" s="83"/>
      <c r="O4" s="83"/>
      <c r="P4" s="83"/>
      <c r="Q4" s="83"/>
      <c r="R4" s="83"/>
      <c r="S4" s="83"/>
      <c r="T4" s="83"/>
      <c r="U4" s="83"/>
      <c r="V4" s="83"/>
      <c r="W4" s="90"/>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c r="AX4" s="83"/>
      <c r="AY4" s="83"/>
    </row>
    <row r="5" spans="1:51" ht="21.75" customHeight="1" thickTop="1" x14ac:dyDescent="0.25">
      <c r="A5" s="83"/>
      <c r="B5" s="87" t="s">
        <v>363</v>
      </c>
      <c r="C5" s="83"/>
      <c r="D5" s="121">
        <f>+'Resumen  - Se oculta 5,0'!I6</f>
        <v>0.35294117647058826</v>
      </c>
      <c r="E5" s="83"/>
      <c r="F5" s="374">
        <f>+'Resumen  - Se oculta 5,0'!I5</f>
        <v>0.30436168521462637</v>
      </c>
      <c r="G5" s="83"/>
      <c r="H5" s="90"/>
      <c r="I5" s="83"/>
      <c r="J5" s="83"/>
      <c r="K5" s="83"/>
      <c r="L5" s="83"/>
      <c r="M5" s="84"/>
      <c r="N5" s="83"/>
      <c r="O5" s="83"/>
      <c r="P5" s="83"/>
      <c r="Q5" s="83"/>
      <c r="R5" s="83"/>
      <c r="S5" s="83"/>
      <c r="T5" s="83"/>
      <c r="U5" s="83"/>
      <c r="V5" s="83"/>
      <c r="W5" s="90"/>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row>
    <row r="6" spans="1:51" ht="21.75" customHeight="1" x14ac:dyDescent="0.25">
      <c r="A6" s="83"/>
      <c r="B6" s="88" t="s">
        <v>5</v>
      </c>
      <c r="C6" s="83"/>
      <c r="D6" s="122">
        <f>+'Resumen  - Se oculta 5,0'!I18</f>
        <v>0.78378378378378377</v>
      </c>
      <c r="E6" s="83"/>
      <c r="F6" s="375"/>
      <c r="G6" s="83"/>
      <c r="H6" s="90"/>
      <c r="I6" s="83"/>
      <c r="J6" s="83"/>
      <c r="K6" s="83"/>
      <c r="L6" s="83"/>
      <c r="M6" s="84"/>
      <c r="N6" s="83"/>
      <c r="O6" s="83"/>
      <c r="P6" s="83"/>
      <c r="Q6" s="83"/>
      <c r="R6" s="83"/>
      <c r="S6" s="83"/>
      <c r="T6" s="83"/>
      <c r="U6" s="83"/>
      <c r="V6" s="83"/>
      <c r="W6" s="90"/>
      <c r="X6" s="83"/>
      <c r="Y6" s="83"/>
      <c r="Z6" s="83"/>
      <c r="AA6" s="83"/>
      <c r="AB6" s="83"/>
      <c r="AC6" s="83"/>
      <c r="AD6" s="83"/>
      <c r="AE6" s="83"/>
      <c r="AF6" s="83"/>
      <c r="AG6" s="83"/>
      <c r="AH6" s="83"/>
      <c r="AI6" s="83"/>
      <c r="AJ6" s="83"/>
      <c r="AK6" s="83"/>
      <c r="AL6" s="83"/>
      <c r="AM6" s="83"/>
      <c r="AN6" s="83"/>
      <c r="AO6" s="83"/>
      <c r="AP6" s="83"/>
      <c r="AQ6" s="83"/>
      <c r="AR6" s="83"/>
      <c r="AS6" s="83"/>
      <c r="AT6" s="83"/>
      <c r="AU6" s="83"/>
      <c r="AV6" s="83"/>
      <c r="AW6" s="83"/>
      <c r="AX6" s="83"/>
      <c r="AY6" s="83"/>
    </row>
    <row r="7" spans="1:51" ht="21.75" customHeight="1" x14ac:dyDescent="0.25">
      <c r="A7" s="83"/>
      <c r="B7" s="88" t="s">
        <v>26</v>
      </c>
      <c r="C7" s="83"/>
      <c r="D7" s="122">
        <f>+'Resumen  - Se oculta 5,0'!I23</f>
        <v>0.66666666666666663</v>
      </c>
      <c r="E7" s="83"/>
      <c r="F7" s="375"/>
      <c r="G7" s="83"/>
      <c r="H7" s="90"/>
      <c r="I7" s="83"/>
      <c r="J7" s="83"/>
      <c r="K7" s="83"/>
      <c r="L7" s="83"/>
      <c r="M7" s="84"/>
      <c r="N7" s="83"/>
      <c r="O7" s="83"/>
      <c r="P7" s="90"/>
      <c r="Q7" s="83"/>
      <c r="R7" s="83"/>
      <c r="S7" s="83"/>
      <c r="T7" s="83"/>
      <c r="U7" s="83"/>
      <c r="V7" s="83"/>
      <c r="W7" s="90"/>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row>
    <row r="8" spans="1:51" ht="21.75" customHeight="1" x14ac:dyDescent="0.25">
      <c r="A8" s="83"/>
      <c r="B8" s="88" t="s">
        <v>15</v>
      </c>
      <c r="C8" s="83"/>
      <c r="D8" s="122">
        <f>+'Resumen  - Se oculta 5,0'!I44</f>
        <v>0.28000000000000003</v>
      </c>
      <c r="E8" s="83"/>
      <c r="F8" s="375"/>
      <c r="G8" s="83"/>
      <c r="H8" s="90"/>
      <c r="I8" s="83"/>
      <c r="J8" s="83"/>
      <c r="K8" s="85"/>
      <c r="L8" s="85"/>
      <c r="M8" s="91"/>
      <c r="N8" s="85"/>
      <c r="O8" s="85"/>
      <c r="P8" s="90"/>
      <c r="Q8" s="83"/>
      <c r="R8" s="83"/>
      <c r="S8" s="83"/>
      <c r="T8" s="83"/>
      <c r="U8" s="83"/>
      <c r="V8" s="83"/>
      <c r="W8" s="90"/>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row>
    <row r="9" spans="1:51" ht="21.75" customHeight="1" thickBot="1" x14ac:dyDescent="0.3">
      <c r="A9" s="83"/>
      <c r="B9" s="89" t="s">
        <v>16</v>
      </c>
      <c r="C9" s="83"/>
      <c r="D9" s="123">
        <f>+'Resumen  - Se oculta 5,0'!I54</f>
        <v>0.75</v>
      </c>
      <c r="E9" s="83"/>
      <c r="F9" s="376"/>
      <c r="G9" s="83"/>
      <c r="H9" s="90"/>
      <c r="I9" s="83"/>
      <c r="J9" s="83"/>
      <c r="K9" s="85"/>
      <c r="L9" s="85"/>
      <c r="M9" s="91"/>
      <c r="N9" s="85"/>
      <c r="O9" s="85"/>
      <c r="P9" s="90"/>
      <c r="Q9" s="83"/>
      <c r="R9" s="83"/>
      <c r="S9" s="83"/>
      <c r="T9" s="83"/>
      <c r="U9" s="83"/>
      <c r="V9" s="83"/>
      <c r="W9" s="90"/>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row>
    <row r="10" spans="1:51" ht="21.75" customHeight="1" thickTop="1" x14ac:dyDescent="0.25">
      <c r="A10" s="83"/>
      <c r="B10" s="87" t="s">
        <v>378</v>
      </c>
      <c r="C10" s="83"/>
      <c r="D10" s="121">
        <f>+'Resumen  - Se oculta 5,0'!I58</f>
        <v>0.96153846153846156</v>
      </c>
      <c r="E10" s="83"/>
      <c r="F10" s="374">
        <f>+'Resumen  - Se oculta 5,0'!I57</f>
        <v>0.22670940170940171</v>
      </c>
      <c r="G10" s="83"/>
      <c r="H10" s="90"/>
      <c r="I10" s="83"/>
      <c r="J10" s="83"/>
      <c r="K10" s="83"/>
      <c r="L10" s="83"/>
      <c r="M10" s="92"/>
      <c r="N10" s="83"/>
      <c r="O10" s="92"/>
      <c r="P10" s="90"/>
      <c r="Q10" s="83"/>
      <c r="R10" s="83"/>
      <c r="S10" s="83"/>
      <c r="T10" s="83"/>
      <c r="U10" s="83"/>
      <c r="V10" s="83"/>
      <c r="W10" s="90"/>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row>
    <row r="11" spans="1:51" ht="21.75" customHeight="1" x14ac:dyDescent="0.25">
      <c r="A11" s="83"/>
      <c r="B11" s="88" t="s">
        <v>386</v>
      </c>
      <c r="C11" s="83"/>
      <c r="D11" s="122">
        <f>+'Resumen  - Se oculta 5,0'!I72</f>
        <v>0.91666666666666663</v>
      </c>
      <c r="E11" s="83"/>
      <c r="F11" s="375"/>
      <c r="G11" s="83"/>
      <c r="H11" s="90"/>
      <c r="I11" s="83"/>
      <c r="J11" s="83"/>
      <c r="K11" s="83"/>
      <c r="L11" s="83"/>
      <c r="M11" s="84"/>
      <c r="N11" s="83"/>
      <c r="O11" s="83"/>
      <c r="P11" s="90"/>
      <c r="Q11" s="83"/>
      <c r="R11" s="83"/>
      <c r="S11" s="83"/>
      <c r="T11" s="83"/>
      <c r="U11" s="83"/>
      <c r="V11" s="83"/>
      <c r="W11" s="90"/>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row>
    <row r="12" spans="1:51" ht="21.75" customHeight="1" x14ac:dyDescent="0.25">
      <c r="A12" s="83"/>
      <c r="B12" s="88" t="s">
        <v>17</v>
      </c>
      <c r="C12" s="83"/>
      <c r="D12" s="122">
        <f>+'Resumen  - Se oculta 5,0'!I80</f>
        <v>0.44444444444444442</v>
      </c>
      <c r="E12" s="83"/>
      <c r="F12" s="375"/>
      <c r="G12" s="83"/>
      <c r="H12" s="90"/>
      <c r="I12" s="83"/>
      <c r="J12" s="83"/>
      <c r="K12" s="83"/>
      <c r="L12" s="83"/>
      <c r="M12" s="84"/>
      <c r="N12" s="83"/>
      <c r="O12" s="83"/>
      <c r="P12" s="90"/>
      <c r="Q12" s="83"/>
      <c r="R12" s="83"/>
      <c r="S12" s="83"/>
      <c r="T12" s="83"/>
      <c r="U12" s="83"/>
      <c r="V12" s="83"/>
      <c r="W12" s="90"/>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row>
    <row r="13" spans="1:51" ht="21.75" customHeight="1" x14ac:dyDescent="0.25">
      <c r="A13" s="83"/>
      <c r="B13" s="88" t="s">
        <v>410</v>
      </c>
      <c r="C13" s="83"/>
      <c r="D13" s="122">
        <f>+'Resumen  - Se oculta 5,0'!I88</f>
        <v>0.22222222222222221</v>
      </c>
      <c r="E13" s="83"/>
      <c r="F13" s="375"/>
      <c r="G13" s="83"/>
      <c r="H13" s="90"/>
      <c r="I13" s="83"/>
      <c r="J13" s="83"/>
      <c r="K13" s="83"/>
      <c r="L13" s="83"/>
      <c r="M13" s="83"/>
      <c r="N13" s="83"/>
      <c r="O13" s="83"/>
      <c r="P13" s="90"/>
      <c r="Q13" s="83"/>
      <c r="R13" s="83"/>
      <c r="S13" s="83"/>
      <c r="T13" s="83"/>
      <c r="U13" s="83"/>
      <c r="V13" s="83"/>
      <c r="W13" s="90"/>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row>
    <row r="14" spans="1:51" ht="21.75" customHeight="1" x14ac:dyDescent="0.25">
      <c r="A14" s="83"/>
      <c r="B14" s="88" t="s">
        <v>704</v>
      </c>
      <c r="C14" s="83"/>
      <c r="D14" s="122">
        <f>+'Resumen  - Se oculta 5,0'!I95</f>
        <v>0</v>
      </c>
      <c r="E14" s="83"/>
      <c r="F14" s="375"/>
      <c r="G14" s="83"/>
      <c r="H14" s="90"/>
      <c r="I14" s="83"/>
      <c r="J14" s="83"/>
      <c r="K14" s="83"/>
      <c r="L14" s="83"/>
      <c r="M14" s="83"/>
      <c r="N14" s="83"/>
      <c r="O14" s="92"/>
      <c r="P14" s="90"/>
      <c r="Q14" s="83"/>
      <c r="R14" s="83"/>
      <c r="S14" s="83"/>
      <c r="T14" s="83"/>
      <c r="U14" s="83"/>
      <c r="V14" s="83"/>
      <c r="W14" s="90"/>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row>
    <row r="15" spans="1:51" ht="21.75" customHeight="1" x14ac:dyDescent="0.25">
      <c r="A15" s="83"/>
      <c r="B15" s="88" t="s">
        <v>705</v>
      </c>
      <c r="C15" s="83"/>
      <c r="D15" s="122">
        <f>+'Resumen  - Se oculta 5,0'!I98</f>
        <v>0</v>
      </c>
      <c r="E15" s="83"/>
      <c r="F15" s="375"/>
      <c r="G15" s="83"/>
      <c r="H15" s="90"/>
      <c r="I15" s="83"/>
      <c r="J15" s="83"/>
      <c r="K15" s="83"/>
      <c r="L15" s="83"/>
      <c r="M15" s="84"/>
      <c r="N15" s="83"/>
      <c r="O15" s="83"/>
      <c r="P15" s="90"/>
      <c r="Q15" s="83"/>
      <c r="R15" s="83"/>
      <c r="S15" s="83"/>
      <c r="T15" s="83"/>
      <c r="U15" s="83"/>
      <c r="V15" s="83"/>
      <c r="W15" s="90"/>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row>
    <row r="16" spans="1:51" ht="21.75" customHeight="1" thickBot="1" x14ac:dyDescent="0.3">
      <c r="A16" s="83"/>
      <c r="B16" s="89" t="s">
        <v>706</v>
      </c>
      <c r="C16" s="83"/>
      <c r="D16" s="123">
        <f>+'Resumen  - Se oculta 5,0'!I101</f>
        <v>0</v>
      </c>
      <c r="E16" s="83"/>
      <c r="F16" s="376"/>
      <c r="G16" s="83"/>
      <c r="H16" s="90"/>
      <c r="I16" s="83"/>
      <c r="J16" s="143" t="str">
        <f>Condicionales!$Q$6</f>
        <v>Condición 1: No OK</v>
      </c>
      <c r="K16" s="83"/>
      <c r="L16" s="83"/>
      <c r="M16" s="83"/>
      <c r="N16" s="83"/>
      <c r="O16" s="83"/>
      <c r="P16" s="90"/>
      <c r="Q16" s="83"/>
      <c r="R16" s="83"/>
      <c r="S16" s="83"/>
      <c r="T16" s="83"/>
      <c r="U16" s="83"/>
      <c r="V16" s="83"/>
      <c r="W16" s="90"/>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row>
    <row r="17" spans="1:51" ht="21.75" customHeight="1" thickTop="1" x14ac:dyDescent="0.25">
      <c r="A17" s="83"/>
      <c r="B17" s="87" t="s">
        <v>19</v>
      </c>
      <c r="C17" s="83"/>
      <c r="D17" s="121">
        <f>+'Resumen  - Se oculta 5,0'!I105</f>
        <v>0.5</v>
      </c>
      <c r="E17" s="83"/>
      <c r="F17" s="374">
        <f>+'Resumen  - Se oculta 5,0'!I104</f>
        <v>4.5000000000000005E-2</v>
      </c>
      <c r="G17" s="83"/>
      <c r="H17" s="90"/>
      <c r="I17" s="83"/>
      <c r="J17" s="143" t="str">
        <f>+Condicionales!$Q$10</f>
        <v>Condición 2: OK</v>
      </c>
      <c r="K17" s="83"/>
      <c r="L17" s="83"/>
      <c r="M17" s="83"/>
      <c r="N17" s="83"/>
      <c r="O17" s="83"/>
      <c r="P17" s="90"/>
      <c r="Q17" s="83"/>
      <c r="R17" s="83"/>
      <c r="S17" s="83"/>
      <c r="T17" s="83"/>
      <c r="U17" s="83"/>
      <c r="V17" s="83"/>
      <c r="W17" s="90"/>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row>
    <row r="18" spans="1:51" ht="21.75" customHeight="1" thickBot="1" x14ac:dyDescent="0.3">
      <c r="A18" s="83"/>
      <c r="B18" s="89" t="s">
        <v>18</v>
      </c>
      <c r="C18" s="83"/>
      <c r="D18" s="123">
        <f>+'Resumen  - Se oculta 5,0'!I108</f>
        <v>0.4</v>
      </c>
      <c r="E18" s="83"/>
      <c r="F18" s="376"/>
      <c r="G18" s="83"/>
      <c r="H18" s="90"/>
      <c r="I18" s="83"/>
      <c r="J18" s="143" t="str">
        <f>+Condicionales!$Q$14</f>
        <v>Condición 3: No Aplica</v>
      </c>
      <c r="K18" s="83"/>
      <c r="L18" s="83"/>
      <c r="M18" s="83"/>
      <c r="N18" s="83"/>
      <c r="O18" s="83"/>
      <c r="P18" s="90"/>
      <c r="Q18" s="83"/>
      <c r="R18" s="83"/>
      <c r="S18" s="83"/>
      <c r="T18" s="83"/>
      <c r="U18" s="83"/>
      <c r="V18" s="83"/>
      <c r="W18" s="90"/>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row>
    <row r="19" spans="1:51" ht="7.5" customHeight="1" thickTop="1" x14ac:dyDescent="0.25">
      <c r="A19" s="83"/>
      <c r="B19" s="83"/>
      <c r="C19" s="83"/>
      <c r="D19" s="83"/>
      <c r="E19" s="83"/>
      <c r="F19" s="84"/>
      <c r="G19" s="83"/>
      <c r="H19" s="90"/>
      <c r="I19" s="83"/>
      <c r="J19" s="83"/>
      <c r="K19" s="83"/>
      <c r="L19" s="83"/>
      <c r="M19" s="84"/>
      <c r="N19" s="83"/>
      <c r="O19" s="83"/>
      <c r="P19" s="90"/>
      <c r="Q19" s="83"/>
      <c r="R19" s="83"/>
      <c r="S19" s="83"/>
      <c r="T19" s="83"/>
      <c r="U19" s="83"/>
      <c r="V19" s="83"/>
      <c r="W19" s="90"/>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row>
    <row r="20" spans="1:51" ht="6" customHeight="1" x14ac:dyDescent="0.25">
      <c r="A20" s="90"/>
      <c r="B20" s="90"/>
      <c r="C20" s="90"/>
      <c r="D20" s="90"/>
      <c r="E20" s="90"/>
      <c r="F20" s="90"/>
      <c r="G20" s="90"/>
      <c r="H20" s="90"/>
      <c r="I20" s="90"/>
      <c r="J20" s="90"/>
      <c r="K20" s="90"/>
      <c r="L20" s="90"/>
      <c r="M20" s="90"/>
      <c r="N20" s="90"/>
      <c r="O20" s="90"/>
      <c r="P20" s="90"/>
      <c r="Q20" s="90"/>
      <c r="R20" s="90"/>
      <c r="S20" s="90"/>
      <c r="T20" s="90"/>
      <c r="U20" s="90"/>
      <c r="V20" s="90"/>
      <c r="W20" s="90"/>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row>
    <row r="21" spans="1:51" ht="6" customHeight="1" x14ac:dyDescent="0.25">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row>
    <row r="22" spans="1:51" ht="12.75" customHeight="1" x14ac:dyDescent="0.25">
      <c r="A22" s="83"/>
      <c r="B22" s="185" t="s">
        <v>957</v>
      </c>
      <c r="C22" s="83"/>
      <c r="D22" s="83"/>
      <c r="E22" s="83"/>
      <c r="F22" s="84"/>
      <c r="G22" s="83"/>
      <c r="H22" s="83"/>
      <c r="I22" s="83"/>
      <c r="J22" s="83"/>
      <c r="K22" s="83"/>
      <c r="L22" s="83"/>
      <c r="M22" s="84"/>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row>
    <row r="23" spans="1:51" ht="12.75" customHeight="1" x14ac:dyDescent="0.25">
      <c r="A23" s="83"/>
      <c r="B23" s="185" t="s">
        <v>958</v>
      </c>
      <c r="C23" s="83"/>
      <c r="D23" s="83"/>
      <c r="E23" s="83"/>
      <c r="F23" s="84"/>
      <c r="G23" s="83"/>
      <c r="H23" s="83"/>
      <c r="I23" s="83"/>
      <c r="J23" s="83"/>
      <c r="K23" s="83"/>
      <c r="L23" s="83"/>
      <c r="M23" s="84"/>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row>
    <row r="24" spans="1:51" ht="12.75" customHeight="1" x14ac:dyDescent="0.25">
      <c r="A24" s="83"/>
      <c r="B24" s="185" t="s">
        <v>959</v>
      </c>
      <c r="C24" s="83"/>
      <c r="D24" s="83"/>
      <c r="E24" s="83"/>
      <c r="F24" s="84"/>
      <c r="G24" s="83"/>
      <c r="H24" s="83"/>
      <c r="I24" s="83"/>
      <c r="J24" s="83"/>
      <c r="K24" s="83"/>
      <c r="L24" s="83"/>
      <c r="M24" s="84"/>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row>
    <row r="25" spans="1:51" ht="12.75" customHeight="1" x14ac:dyDescent="0.25">
      <c r="A25" s="83"/>
      <c r="B25" s="185" t="s">
        <v>960</v>
      </c>
      <c r="C25" s="83"/>
      <c r="D25" s="83"/>
      <c r="E25" s="83"/>
      <c r="F25" s="84"/>
      <c r="G25" s="83"/>
      <c r="H25" s="83"/>
      <c r="I25" s="83"/>
      <c r="J25" s="83"/>
      <c r="K25" s="83"/>
      <c r="L25" s="83"/>
      <c r="M25" s="84"/>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row>
    <row r="26" spans="1:51" ht="12.75" customHeight="1" x14ac:dyDescent="0.25">
      <c r="A26" s="83"/>
      <c r="B26" s="185" t="s">
        <v>956</v>
      </c>
      <c r="C26" s="83"/>
      <c r="D26" s="83"/>
      <c r="E26" s="83"/>
      <c r="F26" s="84"/>
      <c r="G26" s="83"/>
      <c r="H26" s="83"/>
      <c r="I26" s="83"/>
      <c r="J26" s="83"/>
      <c r="K26" s="83"/>
      <c r="L26" s="83"/>
      <c r="M26" s="84"/>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row>
    <row r="27" spans="1:51" x14ac:dyDescent="0.25">
      <c r="A27" s="83"/>
      <c r="B27" s="83"/>
      <c r="C27" s="83"/>
      <c r="D27" s="83"/>
      <c r="E27" s="83"/>
      <c r="F27" s="84"/>
      <c r="G27" s="83"/>
      <c r="H27" s="83"/>
      <c r="I27" s="83"/>
      <c r="J27" s="83"/>
      <c r="K27" s="83"/>
      <c r="L27" s="83"/>
      <c r="M27" s="84"/>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row>
    <row r="28" spans="1:51" x14ac:dyDescent="0.25">
      <c r="A28" s="83"/>
      <c r="B28" s="83"/>
      <c r="C28" s="83"/>
      <c r="D28" s="83"/>
      <c r="E28" s="83"/>
      <c r="F28" s="84"/>
      <c r="G28" s="83"/>
      <c r="H28" s="83"/>
      <c r="I28" s="83"/>
      <c r="J28" s="83"/>
      <c r="K28" s="83"/>
      <c r="L28" s="83"/>
      <c r="M28" s="84"/>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row>
    <row r="29" spans="1:51" x14ac:dyDescent="0.25">
      <c r="A29" s="83"/>
      <c r="B29" s="83"/>
      <c r="C29" s="83"/>
      <c r="D29" s="83"/>
      <c r="E29" s="83"/>
      <c r="F29" s="84"/>
      <c r="G29" s="83"/>
      <c r="H29" s="83"/>
      <c r="I29" s="83"/>
      <c r="J29" s="83"/>
      <c r="K29" s="83"/>
      <c r="L29" s="83"/>
      <c r="M29" s="84"/>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row>
    <row r="30" spans="1:51" x14ac:dyDescent="0.25">
      <c r="A30" s="83"/>
      <c r="B30" s="83"/>
      <c r="C30" s="83"/>
      <c r="D30" s="83"/>
      <c r="E30" s="83"/>
      <c r="F30" s="84"/>
      <c r="G30" s="83"/>
      <c r="H30" s="83"/>
      <c r="I30" s="83"/>
      <c r="J30" s="83"/>
      <c r="K30" s="83"/>
      <c r="L30" s="83"/>
      <c r="M30" s="84"/>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row>
    <row r="31" spans="1:51" x14ac:dyDescent="0.25">
      <c r="A31" s="83"/>
      <c r="B31" s="83"/>
      <c r="C31" s="83"/>
      <c r="D31" s="83"/>
      <c r="E31" s="83"/>
      <c r="F31" s="84"/>
      <c r="G31" s="83"/>
      <c r="H31" s="83"/>
      <c r="I31" s="83"/>
      <c r="J31" s="83"/>
      <c r="K31" s="83"/>
      <c r="L31" s="83"/>
      <c r="M31" s="84"/>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row>
    <row r="32" spans="1:51" x14ac:dyDescent="0.25">
      <c r="A32" s="83"/>
      <c r="B32" s="83"/>
      <c r="C32" s="83"/>
      <c r="D32" s="83"/>
      <c r="E32" s="83"/>
      <c r="F32" s="84"/>
      <c r="G32" s="83"/>
      <c r="H32" s="83"/>
      <c r="I32" s="83"/>
      <c r="J32" s="83"/>
      <c r="K32" s="83"/>
      <c r="L32" s="83"/>
      <c r="M32" s="84"/>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row>
    <row r="33" spans="1:51" x14ac:dyDescent="0.25">
      <c r="A33" s="83"/>
      <c r="B33" s="83"/>
      <c r="C33" s="83"/>
      <c r="D33" s="83"/>
      <c r="E33" s="83"/>
      <c r="F33" s="84"/>
      <c r="G33" s="83"/>
      <c r="H33" s="83"/>
      <c r="I33" s="83"/>
      <c r="J33" s="83"/>
      <c r="K33" s="83"/>
      <c r="L33" s="83"/>
      <c r="M33" s="84"/>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row>
    <row r="34" spans="1:51" x14ac:dyDescent="0.25">
      <c r="A34" s="83"/>
      <c r="B34" s="83"/>
      <c r="C34" s="83"/>
      <c r="D34" s="83"/>
      <c r="E34" s="83"/>
      <c r="F34" s="84"/>
      <c r="G34" s="83"/>
      <c r="H34" s="83"/>
      <c r="I34" s="83"/>
      <c r="J34" s="83"/>
      <c r="K34" s="83"/>
      <c r="L34" s="83"/>
      <c r="M34" s="84"/>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row>
    <row r="35" spans="1:51" x14ac:dyDescent="0.25">
      <c r="A35" s="83"/>
      <c r="B35" s="83"/>
      <c r="C35" s="83"/>
      <c r="D35" s="83"/>
      <c r="E35" s="83"/>
      <c r="F35" s="84"/>
      <c r="G35" s="83"/>
      <c r="H35" s="83"/>
      <c r="I35" s="83"/>
      <c r="J35" s="83"/>
      <c r="K35" s="83"/>
      <c r="L35" s="83"/>
      <c r="M35" s="84"/>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row>
    <row r="36" spans="1:51" x14ac:dyDescent="0.25">
      <c r="A36" s="83"/>
      <c r="B36" s="83"/>
      <c r="C36" s="83"/>
      <c r="D36" s="83"/>
      <c r="E36" s="83"/>
      <c r="F36" s="84"/>
      <c r="G36" s="83"/>
      <c r="H36" s="83"/>
      <c r="I36" s="83"/>
      <c r="J36" s="83"/>
      <c r="K36" s="83"/>
      <c r="L36" s="83"/>
      <c r="M36" s="84"/>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row>
    <row r="37" spans="1:51" x14ac:dyDescent="0.25">
      <c r="A37" s="83"/>
      <c r="B37" s="83"/>
      <c r="C37" s="83"/>
      <c r="D37" s="83"/>
      <c r="E37" s="83"/>
      <c r="F37" s="84"/>
      <c r="G37" s="83"/>
      <c r="H37" s="83"/>
      <c r="I37" s="83"/>
      <c r="J37" s="83"/>
      <c r="K37" s="83"/>
      <c r="L37" s="83"/>
      <c r="M37" s="84"/>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row>
    <row r="38" spans="1:51" x14ac:dyDescent="0.25">
      <c r="A38" s="83"/>
      <c r="B38" s="83"/>
      <c r="C38" s="83"/>
      <c r="D38" s="83"/>
      <c r="E38" s="83"/>
      <c r="F38" s="84"/>
      <c r="G38" s="83"/>
      <c r="H38" s="83"/>
      <c r="I38" s="83"/>
      <c r="J38" s="83"/>
      <c r="K38" s="83"/>
      <c r="L38" s="83"/>
      <c r="M38" s="84"/>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row>
    <row r="39" spans="1:51" x14ac:dyDescent="0.25">
      <c r="A39" s="83"/>
      <c r="B39" s="83"/>
      <c r="C39" s="83"/>
      <c r="D39" s="83"/>
      <c r="E39" s="83"/>
      <c r="F39" s="84"/>
      <c r="G39" s="83"/>
      <c r="H39" s="83"/>
      <c r="I39" s="83"/>
      <c r="J39" s="83"/>
      <c r="K39" s="83"/>
      <c r="L39" s="83"/>
      <c r="M39" s="84"/>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row>
    <row r="40" spans="1:51" x14ac:dyDescent="0.25">
      <c r="A40" s="83"/>
      <c r="B40" s="83"/>
      <c r="C40" s="83"/>
      <c r="D40" s="83"/>
      <c r="E40" s="83"/>
      <c r="F40" s="84"/>
      <c r="G40" s="83"/>
      <c r="H40" s="83"/>
      <c r="I40" s="83"/>
      <c r="J40" s="83"/>
      <c r="K40" s="83"/>
      <c r="L40" s="83"/>
      <c r="M40" s="84"/>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row>
    <row r="41" spans="1:51" x14ac:dyDescent="0.25">
      <c r="A41" s="83"/>
      <c r="B41" s="83"/>
      <c r="C41" s="83"/>
      <c r="D41" s="83"/>
      <c r="E41" s="83"/>
      <c r="F41" s="84"/>
      <c r="G41" s="83"/>
      <c r="H41" s="83"/>
      <c r="I41" s="83"/>
      <c r="J41" s="83"/>
      <c r="K41" s="83"/>
      <c r="L41" s="83"/>
      <c r="M41" s="84"/>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row>
    <row r="42" spans="1:51" x14ac:dyDescent="0.25">
      <c r="A42" s="83"/>
      <c r="B42" s="83"/>
      <c r="C42" s="83"/>
      <c r="D42" s="83"/>
      <c r="E42" s="83"/>
      <c r="F42" s="84"/>
      <c r="G42" s="83"/>
      <c r="H42" s="83"/>
      <c r="I42" s="83"/>
      <c r="J42" s="83"/>
      <c r="K42" s="83"/>
      <c r="L42" s="83"/>
      <c r="M42" s="84"/>
      <c r="N42" s="83"/>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row>
    <row r="43" spans="1:51" x14ac:dyDescent="0.25">
      <c r="A43" s="83"/>
      <c r="B43" s="83"/>
      <c r="C43" s="83"/>
      <c r="D43" s="83"/>
      <c r="E43" s="83"/>
      <c r="F43" s="84"/>
      <c r="G43" s="83"/>
      <c r="H43" s="83"/>
      <c r="I43" s="83"/>
      <c r="J43" s="83"/>
      <c r="K43" s="83"/>
      <c r="L43" s="83"/>
      <c r="M43" s="84"/>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row>
    <row r="44" spans="1:51" x14ac:dyDescent="0.25">
      <c r="A44" s="83"/>
      <c r="B44" s="83"/>
      <c r="C44" s="83"/>
      <c r="D44" s="83"/>
      <c r="E44" s="83"/>
      <c r="F44" s="84"/>
      <c r="G44" s="83"/>
      <c r="H44" s="83"/>
      <c r="I44" s="83"/>
      <c r="J44" s="83"/>
      <c r="K44" s="83"/>
      <c r="L44" s="83"/>
      <c r="M44" s="84"/>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row>
    <row r="45" spans="1:51" x14ac:dyDescent="0.25">
      <c r="A45" s="83"/>
      <c r="B45" s="83"/>
      <c r="C45" s="83"/>
      <c r="D45" s="83"/>
      <c r="E45" s="83"/>
      <c r="F45" s="84"/>
      <c r="G45" s="83"/>
      <c r="H45" s="83"/>
      <c r="I45" s="83"/>
      <c r="J45" s="83"/>
      <c r="K45" s="83"/>
      <c r="L45" s="83"/>
      <c r="M45" s="84"/>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row>
    <row r="46" spans="1:51" x14ac:dyDescent="0.25">
      <c r="A46" s="83"/>
      <c r="B46" s="83"/>
      <c r="C46" s="83"/>
      <c r="D46" s="83"/>
      <c r="E46" s="83"/>
      <c r="F46" s="84"/>
      <c r="G46" s="83"/>
      <c r="H46" s="83"/>
      <c r="I46" s="83"/>
      <c r="J46" s="83"/>
      <c r="K46" s="83"/>
      <c r="L46" s="83"/>
      <c r="M46" s="84"/>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row>
    <row r="47" spans="1:51" x14ac:dyDescent="0.25">
      <c r="A47" s="83"/>
      <c r="B47" s="83"/>
      <c r="C47" s="83"/>
      <c r="D47" s="83"/>
      <c r="E47" s="83"/>
      <c r="F47" s="84"/>
      <c r="G47" s="83"/>
      <c r="H47" s="83"/>
      <c r="I47" s="83"/>
      <c r="J47" s="83"/>
      <c r="K47" s="83"/>
      <c r="L47" s="83"/>
      <c r="M47" s="84"/>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row>
    <row r="48" spans="1:51" x14ac:dyDescent="0.25">
      <c r="A48" s="83"/>
      <c r="B48" s="83"/>
      <c r="C48" s="83"/>
      <c r="D48" s="83"/>
      <c r="E48" s="83"/>
      <c r="F48" s="84"/>
      <c r="G48" s="83"/>
      <c r="H48" s="83"/>
      <c r="I48" s="83"/>
      <c r="J48" s="83"/>
      <c r="K48" s="83"/>
      <c r="L48" s="83"/>
      <c r="M48" s="84"/>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row>
    <row r="49" spans="1:51" x14ac:dyDescent="0.25">
      <c r="A49" s="83"/>
      <c r="B49" s="83"/>
      <c r="C49" s="83"/>
      <c r="D49" s="83"/>
      <c r="E49" s="83"/>
      <c r="F49" s="84"/>
      <c r="G49" s="83"/>
      <c r="H49" s="83"/>
      <c r="I49" s="83"/>
      <c r="J49" s="83"/>
      <c r="K49" s="83"/>
      <c r="L49" s="83"/>
      <c r="M49" s="84"/>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row>
    <row r="50" spans="1:51" x14ac:dyDescent="0.25">
      <c r="A50" s="83"/>
      <c r="B50" s="83"/>
      <c r="C50" s="83"/>
      <c r="D50" s="83"/>
      <c r="E50" s="83"/>
      <c r="F50" s="84"/>
      <c r="G50" s="83"/>
      <c r="H50" s="83"/>
      <c r="I50" s="83"/>
      <c r="J50" s="83"/>
      <c r="K50" s="83"/>
      <c r="L50" s="83"/>
      <c r="M50" s="84"/>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row>
  </sheetData>
  <mergeCells count="3">
    <mergeCell ref="F5:F9"/>
    <mergeCell ref="F10:F16"/>
    <mergeCell ref="F17:F18"/>
  </mergeCells>
  <conditionalFormatting sqref="D5:D18">
    <cfRule type="dataBar" priority="198">
      <dataBar>
        <cfvo type="min"/>
        <cfvo type="max"/>
        <color rgb="FFFFB628"/>
      </dataBar>
      <extLst>
        <ext xmlns:x14="http://schemas.microsoft.com/office/spreadsheetml/2009/9/main" uri="{B025F937-C7B1-47D3-B67F-A62EFF666E3E}">
          <x14:id>{DAAF02AB-F63C-4216-9C2C-FC35D400A2DF}</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DAAF02AB-F63C-4216-9C2C-FC35D400A2DF}">
            <x14:dataBar minLength="0" maxLength="100" border="1" negativeBarBorderColorSameAsPositive="0">
              <x14:cfvo type="autoMin"/>
              <x14:cfvo type="autoMax"/>
              <x14:borderColor rgb="FFFFB628"/>
              <x14:negativeFillColor rgb="FFFF0000"/>
              <x14:negativeBorderColor rgb="FFFF0000"/>
              <x14:axisColor rgb="FF000000"/>
            </x14:dataBar>
          </x14:cfRule>
          <xm:sqref>D5:D18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tabColor theme="6" tint="0.39997558519241921"/>
  </sheetPr>
  <dimension ref="A1:AO217"/>
  <sheetViews>
    <sheetView showGridLines="0" zoomScale="68" zoomScaleNormal="68" workbookViewId="0">
      <pane xSplit="2" ySplit="6" topLeftCell="C7" activePane="bottomRight" state="frozen"/>
      <selection activeCell="F7" sqref="F7"/>
      <selection pane="topRight" activeCell="F7" sqref="F7"/>
      <selection pane="bottomLeft" activeCell="F7" sqref="F7"/>
      <selection pane="bottomRight" activeCell="F7" sqref="F7"/>
    </sheetView>
  </sheetViews>
  <sheetFormatPr baseColWidth="10" defaultColWidth="11" defaultRowHeight="15.75" outlineLevelRow="2" x14ac:dyDescent="0.25"/>
  <cols>
    <col min="1" max="1" width="4.375" style="8" bestFit="1" customWidth="1"/>
    <col min="2" max="2" width="8.125" style="19" customWidth="1"/>
    <col min="3" max="3" width="27.125" style="1" customWidth="1"/>
    <col min="4" max="4" width="8.625" style="9" customWidth="1"/>
    <col min="5" max="5" width="79.125" customWidth="1"/>
    <col min="6" max="6" width="14.75" style="1" customWidth="1"/>
    <col min="7" max="7" width="11" style="1" customWidth="1"/>
    <col min="8" max="8" width="6.75" style="1" bestFit="1" customWidth="1"/>
    <col min="9" max="9" width="38.625" style="1" customWidth="1"/>
    <col min="10" max="10" width="3.375" customWidth="1"/>
    <col min="11" max="11" width="8.875" style="1" customWidth="1"/>
    <col min="12" max="12" width="10.625" style="1" bestFit="1" customWidth="1"/>
    <col min="13" max="13" width="9.125" style="1" customWidth="1"/>
    <col min="14" max="25" width="30.625" style="1" customWidth="1"/>
    <col min="26" max="26" width="3.875" customWidth="1"/>
    <col min="27" max="27" width="15.375" customWidth="1"/>
    <col min="28" max="28" width="10.5" style="1" customWidth="1"/>
  </cols>
  <sheetData>
    <row r="1" spans="1:41" hidden="1" x14ac:dyDescent="0.25">
      <c r="F1" s="153"/>
      <c r="AO1">
        <v>0</v>
      </c>
    </row>
    <row r="2" spans="1:41" ht="36" customHeight="1" x14ac:dyDescent="0.25">
      <c r="F2" s="50" t="s">
        <v>853</v>
      </c>
      <c r="G2" s="240">
        <f>+F4+Estandarización!F4+Mejora!F4</f>
        <v>0.57607108692402809</v>
      </c>
      <c r="J2" s="1"/>
      <c r="K2" s="50" t="s">
        <v>854</v>
      </c>
      <c r="M2" s="50" t="str">
        <f>+M6</f>
        <v>EV24</v>
      </c>
      <c r="AO2">
        <v>1</v>
      </c>
    </row>
    <row r="3" spans="1:41" ht="21.75" customHeight="1" x14ac:dyDescent="0.5">
      <c r="B3" s="39"/>
      <c r="D3" s="39"/>
      <c r="E3" s="49" t="s">
        <v>858</v>
      </c>
      <c r="F3" s="52">
        <f>+F8*$AB$8+F64*$AB$64+F111*$AB$111+F186*$AB$186+F212*$AB$212</f>
        <v>0.60872337042925273</v>
      </c>
      <c r="G3" s="241" t="str">
        <f>+"Resultado acumulado "&amp;" "&amp;ROUND(G2*100,1)&amp;"%"</f>
        <v>Resultado acumulado  57,6%</v>
      </c>
      <c r="K3" s="52">
        <f>+K8*$AB$8+K64*$AB$64+K111*$AB$111+K186*$AB$186+K212*$AB$212</f>
        <v>0</v>
      </c>
      <c r="M3" s="52">
        <f>+M8*AB8+M64*AB64+M111*AB111+M186*AB186+M212*AB212</f>
        <v>0</v>
      </c>
      <c r="AA3" s="53" t="s">
        <v>858</v>
      </c>
      <c r="AB3" s="54">
        <f>+AA8+AA64+AA111+AA186+AA212</f>
        <v>0.5</v>
      </c>
      <c r="AO3" t="s">
        <v>142</v>
      </c>
    </row>
    <row r="4" spans="1:41" ht="21.75" customHeight="1" x14ac:dyDescent="0.7">
      <c r="B4" s="40"/>
      <c r="E4" s="49" t="s">
        <v>860</v>
      </c>
      <c r="F4" s="52">
        <f>+F8*$AA$8+F64*$AA$64+F111*$AA$111+F186*$AA$186+F212*$AA$212</f>
        <v>0.30436168521462637</v>
      </c>
      <c r="K4" s="52">
        <f>+K8*$AA$8+K64*$AA$64+K111*$AA$111+K186*$AA$186+K212*$AA$212</f>
        <v>0</v>
      </c>
      <c r="M4" s="52">
        <f>+M8*AA8+M64*AA64+M111*AA111+M186*AA186+M212*AA212</f>
        <v>0</v>
      </c>
      <c r="AO4" t="s">
        <v>1229</v>
      </c>
    </row>
    <row r="5" spans="1:41" ht="36" x14ac:dyDescent="0.55000000000000004">
      <c r="B5" s="67" t="s">
        <v>895</v>
      </c>
      <c r="E5" s="76"/>
      <c r="I5" s="332">
        <f>90000/13</f>
        <v>6923.0769230769229</v>
      </c>
      <c r="AA5" s="359" t="s">
        <v>856</v>
      </c>
      <c r="AB5" s="360"/>
      <c r="AO5" t="s">
        <v>1230</v>
      </c>
    </row>
    <row r="6" spans="1:41" ht="18.75" x14ac:dyDescent="0.25">
      <c r="B6" s="49" t="s">
        <v>4</v>
      </c>
      <c r="C6" s="49" t="s">
        <v>153</v>
      </c>
      <c r="D6" s="49"/>
      <c r="E6" s="49" t="s">
        <v>118</v>
      </c>
      <c r="F6" s="50" t="s">
        <v>853</v>
      </c>
      <c r="G6" s="49" t="s">
        <v>743</v>
      </c>
      <c r="H6" s="49" t="s">
        <v>761</v>
      </c>
      <c r="I6" s="49" t="s">
        <v>514</v>
      </c>
      <c r="K6" s="50" t="s">
        <v>854</v>
      </c>
      <c r="M6" s="50" t="s">
        <v>841</v>
      </c>
      <c r="N6" s="49" t="s">
        <v>855</v>
      </c>
      <c r="O6" s="197"/>
      <c r="P6" s="197"/>
      <c r="Q6" s="197"/>
      <c r="R6" s="197"/>
      <c r="S6" s="197"/>
      <c r="T6" s="197"/>
      <c r="U6" s="197"/>
      <c r="V6" s="197"/>
      <c r="W6" s="197"/>
      <c r="X6" s="197"/>
      <c r="Y6" s="197"/>
      <c r="AA6" s="359" t="s">
        <v>859</v>
      </c>
      <c r="AB6" s="360"/>
    </row>
    <row r="7" spans="1:41" ht="6" customHeight="1" x14ac:dyDescent="0.25"/>
    <row r="8" spans="1:41" ht="24" customHeight="1" x14ac:dyDescent="0.25">
      <c r="B8" s="62">
        <v>1</v>
      </c>
      <c r="C8" s="63" t="s">
        <v>363</v>
      </c>
      <c r="D8" s="64"/>
      <c r="E8" s="65"/>
      <c r="F8" s="66">
        <f>IFERROR(SUMIF(F9:F63,1,F9:F63)/SUM(COUNTIF(F9:F63,1),COUNTIF(F9:F63,0)),0)</f>
        <v>0.35294117647058826</v>
      </c>
      <c r="G8" s="66"/>
      <c r="H8" s="66"/>
      <c r="I8" s="189"/>
      <c r="K8" s="66">
        <f>IFERROR(SUMIF(K9:K63,1,K9:K63)/SUM(COUNTIF(K9:K63,1),COUNTIF(K9:K63,0)),0)</f>
        <v>0</v>
      </c>
      <c r="M8" s="66">
        <f>IFERROR(SUMIF(M9:M63,1,M9:M63)/SUM(COUNTIF(M9:M63,1),COUNTIF(M9:M63,0)),0)</f>
        <v>0</v>
      </c>
      <c r="N8" s="66"/>
      <c r="O8" s="198"/>
      <c r="P8" s="198"/>
      <c r="Q8" s="198"/>
      <c r="R8" s="198"/>
      <c r="S8" s="198"/>
      <c r="T8" s="198"/>
      <c r="U8" s="198"/>
      <c r="V8" s="198"/>
      <c r="W8" s="198"/>
      <c r="X8" s="198"/>
      <c r="Y8" s="198"/>
      <c r="AA8" s="60">
        <v>0.1</v>
      </c>
      <c r="AB8" s="60">
        <f>+AA8/$AB$3</f>
        <v>0.2</v>
      </c>
    </row>
    <row r="9" spans="1:41" outlineLevel="1" x14ac:dyDescent="0.25">
      <c r="A9" s="8">
        <v>1</v>
      </c>
      <c r="B9" s="41" t="s">
        <v>156</v>
      </c>
      <c r="C9" s="158" t="s">
        <v>522</v>
      </c>
      <c r="D9" s="42" t="s">
        <v>96</v>
      </c>
      <c r="E9" s="43" t="s">
        <v>764</v>
      </c>
      <c r="F9" s="190">
        <v>1</v>
      </c>
      <c r="G9" s="44" t="s">
        <v>746</v>
      </c>
      <c r="H9" s="44"/>
      <c r="I9" s="191"/>
      <c r="K9" s="190"/>
      <c r="M9" s="44"/>
      <c r="N9" s="43"/>
      <c r="O9" s="195"/>
      <c r="P9" s="195"/>
      <c r="Q9" s="195"/>
      <c r="R9" s="195"/>
      <c r="S9" s="195"/>
      <c r="T9" s="195"/>
      <c r="U9" s="195"/>
      <c r="V9" s="195"/>
      <c r="W9" s="195"/>
      <c r="X9" s="195"/>
      <c r="Y9" s="195"/>
      <c r="AA9" s="61"/>
      <c r="AB9" s="61"/>
    </row>
    <row r="10" spans="1:41" outlineLevel="1" x14ac:dyDescent="0.25">
      <c r="A10" s="8">
        <f>A9+1</f>
        <v>2</v>
      </c>
      <c r="B10" s="41" t="s">
        <v>156</v>
      </c>
      <c r="C10" s="159" t="s">
        <v>522</v>
      </c>
      <c r="D10" s="42" t="s">
        <v>97</v>
      </c>
      <c r="E10" s="43" t="s">
        <v>524</v>
      </c>
      <c r="F10" s="190">
        <v>1</v>
      </c>
      <c r="G10" s="44" t="s">
        <v>518</v>
      </c>
      <c r="H10" s="44"/>
      <c r="I10" s="191"/>
      <c r="K10" s="190"/>
      <c r="M10" s="44"/>
      <c r="N10" s="43"/>
      <c r="O10" s="195"/>
      <c r="P10" s="195"/>
      <c r="Q10" s="195"/>
      <c r="R10" s="195"/>
      <c r="S10" s="195"/>
      <c r="T10" s="195"/>
      <c r="U10" s="195"/>
      <c r="V10" s="195"/>
      <c r="W10" s="195"/>
      <c r="X10" s="195"/>
      <c r="Y10" s="195"/>
      <c r="AA10" s="61"/>
      <c r="AB10" s="61"/>
    </row>
    <row r="11" spans="1:41" ht="31.5" outlineLevel="1" x14ac:dyDescent="0.25">
      <c r="A11" s="8">
        <f t="shared" ref="A11:A63" si="0">A10+1</f>
        <v>3</v>
      </c>
      <c r="B11" s="41" t="s">
        <v>156</v>
      </c>
      <c r="C11" s="160" t="s">
        <v>522</v>
      </c>
      <c r="D11" s="42" t="s">
        <v>519</v>
      </c>
      <c r="E11" s="43" t="s">
        <v>765</v>
      </c>
      <c r="F11" s="190">
        <v>1</v>
      </c>
      <c r="G11" s="44" t="s">
        <v>746</v>
      </c>
      <c r="H11" s="44"/>
      <c r="I11" s="191"/>
      <c r="K11" s="190"/>
      <c r="M11" s="44"/>
      <c r="N11" s="43"/>
      <c r="O11" s="195"/>
      <c r="P11" s="195"/>
      <c r="Q11" s="195"/>
      <c r="R11" s="195"/>
      <c r="S11" s="195"/>
      <c r="T11" s="195"/>
      <c r="U11" s="195"/>
      <c r="V11" s="195"/>
      <c r="W11" s="195"/>
      <c r="X11" s="195"/>
      <c r="Y11" s="195"/>
      <c r="AA11" s="61"/>
      <c r="AB11" s="61"/>
    </row>
    <row r="12" spans="1:41" ht="31.5" outlineLevel="1" x14ac:dyDescent="0.25">
      <c r="A12" s="8">
        <f t="shared" si="0"/>
        <v>4</v>
      </c>
      <c r="B12" s="41" t="s">
        <v>156</v>
      </c>
      <c r="C12" s="159" t="s">
        <v>522</v>
      </c>
      <c r="D12" s="42" t="s">
        <v>520</v>
      </c>
      <c r="E12" s="43" t="s">
        <v>901</v>
      </c>
      <c r="F12" s="190">
        <v>1</v>
      </c>
      <c r="G12" s="44" t="s">
        <v>746</v>
      </c>
      <c r="H12" s="44"/>
      <c r="I12" s="191"/>
      <c r="K12" s="190"/>
      <c r="M12" s="44"/>
      <c r="N12" s="43"/>
      <c r="O12" s="195"/>
      <c r="P12" s="195"/>
      <c r="Q12" s="195"/>
      <c r="R12" s="195"/>
      <c r="S12" s="195"/>
      <c r="T12" s="195"/>
      <c r="U12" s="195"/>
      <c r="V12" s="195"/>
      <c r="W12" s="195"/>
      <c r="X12" s="195"/>
      <c r="Y12" s="195"/>
      <c r="AA12" s="61"/>
      <c r="AB12" s="61"/>
    </row>
    <row r="13" spans="1:41" outlineLevel="1" x14ac:dyDescent="0.25">
      <c r="A13" s="8">
        <f t="shared" si="0"/>
        <v>5</v>
      </c>
      <c r="B13" s="41" t="s">
        <v>156</v>
      </c>
      <c r="C13" s="159" t="s">
        <v>522</v>
      </c>
      <c r="D13" s="45" t="s">
        <v>521</v>
      </c>
      <c r="E13" s="46" t="s">
        <v>766</v>
      </c>
      <c r="F13" s="190" t="s">
        <v>142</v>
      </c>
      <c r="G13" s="44" t="s">
        <v>746</v>
      </c>
      <c r="H13" s="44"/>
      <c r="I13" s="191"/>
      <c r="K13" s="190"/>
      <c r="M13" s="44"/>
      <c r="N13" s="43"/>
      <c r="O13" s="195"/>
      <c r="P13" s="195"/>
      <c r="Q13" s="195"/>
      <c r="R13" s="195"/>
      <c r="S13" s="195"/>
      <c r="T13" s="195"/>
      <c r="U13" s="195"/>
      <c r="V13" s="195"/>
      <c r="W13" s="195"/>
      <c r="X13" s="195"/>
      <c r="Y13" s="195"/>
      <c r="AA13" s="61"/>
      <c r="AB13" s="61"/>
    </row>
    <row r="14" spans="1:41" ht="31.5" outlineLevel="1" x14ac:dyDescent="0.25">
      <c r="A14" s="8">
        <f t="shared" si="0"/>
        <v>6</v>
      </c>
      <c r="B14" s="41" t="s">
        <v>322</v>
      </c>
      <c r="C14" s="158" t="s">
        <v>523</v>
      </c>
      <c r="D14" s="42" t="s">
        <v>98</v>
      </c>
      <c r="E14" s="43" t="s">
        <v>525</v>
      </c>
      <c r="F14" s="190">
        <v>1</v>
      </c>
      <c r="G14" s="44" t="s">
        <v>746</v>
      </c>
      <c r="H14" s="44"/>
      <c r="I14" s="191"/>
      <c r="K14" s="190"/>
      <c r="M14" s="44"/>
      <c r="N14" s="43"/>
      <c r="O14" s="195"/>
      <c r="P14" s="195"/>
      <c r="Q14" s="195"/>
      <c r="R14" s="195"/>
      <c r="S14" s="195"/>
      <c r="T14" s="195"/>
      <c r="U14" s="195"/>
      <c r="V14" s="195"/>
      <c r="W14" s="195"/>
      <c r="X14" s="195"/>
      <c r="Y14" s="195"/>
      <c r="AA14" s="61"/>
      <c r="AB14" s="61"/>
    </row>
    <row r="15" spans="1:41" ht="31.5" outlineLevel="1" x14ac:dyDescent="0.25">
      <c r="A15" s="8">
        <f t="shared" si="0"/>
        <v>7</v>
      </c>
      <c r="B15" s="41" t="s">
        <v>322</v>
      </c>
      <c r="C15" s="159" t="s">
        <v>523</v>
      </c>
      <c r="D15" s="42" t="s">
        <v>99</v>
      </c>
      <c r="E15" s="43" t="s">
        <v>526</v>
      </c>
      <c r="F15" s="190">
        <v>0</v>
      </c>
      <c r="G15" s="44" t="s">
        <v>746</v>
      </c>
      <c r="H15" s="44"/>
      <c r="I15" s="191"/>
      <c r="K15" s="190"/>
      <c r="M15" s="44"/>
      <c r="N15" s="43"/>
      <c r="O15" s="195"/>
      <c r="P15" s="195"/>
      <c r="Q15" s="195"/>
      <c r="R15" s="195"/>
      <c r="S15" s="195"/>
      <c r="T15" s="195"/>
      <c r="U15" s="195"/>
      <c r="V15" s="195"/>
      <c r="W15" s="195"/>
      <c r="X15" s="195"/>
      <c r="Y15" s="195"/>
      <c r="AA15" s="61"/>
      <c r="AB15" s="61"/>
    </row>
    <row r="16" spans="1:41" ht="31.5" outlineLevel="1" x14ac:dyDescent="0.25">
      <c r="A16" s="8">
        <f t="shared" si="0"/>
        <v>8</v>
      </c>
      <c r="B16" s="41" t="s">
        <v>322</v>
      </c>
      <c r="C16" s="160" t="s">
        <v>523</v>
      </c>
      <c r="D16" s="42" t="s">
        <v>100</v>
      </c>
      <c r="E16" s="43" t="s">
        <v>527</v>
      </c>
      <c r="F16" s="190">
        <v>0</v>
      </c>
      <c r="G16" s="44" t="s">
        <v>746</v>
      </c>
      <c r="H16" s="44"/>
      <c r="I16" s="191"/>
      <c r="K16" s="190"/>
      <c r="M16" s="44"/>
      <c r="N16" s="43"/>
      <c r="O16" s="195"/>
      <c r="P16" s="195"/>
      <c r="Q16" s="195"/>
      <c r="R16" s="195"/>
      <c r="S16" s="195"/>
      <c r="T16" s="195"/>
      <c r="U16" s="195"/>
      <c r="V16" s="195"/>
      <c r="W16" s="195"/>
      <c r="X16" s="195"/>
      <c r="Y16" s="195"/>
      <c r="AA16" s="61"/>
      <c r="AB16" s="61"/>
    </row>
    <row r="17" spans="1:28" ht="31.5" outlineLevel="1" x14ac:dyDescent="0.25">
      <c r="A17" s="8">
        <f t="shared" si="0"/>
        <v>9</v>
      </c>
      <c r="B17" s="41" t="s">
        <v>322</v>
      </c>
      <c r="C17" s="159" t="s">
        <v>523</v>
      </c>
      <c r="D17" s="42" t="s">
        <v>101</v>
      </c>
      <c r="E17" s="43" t="s">
        <v>902</v>
      </c>
      <c r="F17" s="190">
        <v>1</v>
      </c>
      <c r="G17" s="44" t="s">
        <v>746</v>
      </c>
      <c r="H17" s="44"/>
      <c r="I17" s="191"/>
      <c r="K17" s="190"/>
      <c r="M17" s="44"/>
      <c r="N17" s="43"/>
      <c r="O17" s="195"/>
      <c r="P17" s="195"/>
      <c r="Q17" s="195"/>
      <c r="R17" s="195"/>
      <c r="S17" s="195"/>
      <c r="T17" s="195"/>
      <c r="U17" s="195"/>
      <c r="V17" s="195"/>
      <c r="W17" s="195"/>
      <c r="X17" s="195"/>
      <c r="Y17" s="195"/>
      <c r="AA17" s="61"/>
      <c r="AB17" s="61"/>
    </row>
    <row r="18" spans="1:28" ht="31.5" outlineLevel="1" x14ac:dyDescent="0.25">
      <c r="A18" s="8">
        <f t="shared" si="0"/>
        <v>10</v>
      </c>
      <c r="B18" s="41" t="s">
        <v>322</v>
      </c>
      <c r="C18" s="56" t="s">
        <v>523</v>
      </c>
      <c r="D18" s="42" t="s">
        <v>903</v>
      </c>
      <c r="E18" s="43" t="s">
        <v>904</v>
      </c>
      <c r="F18" s="190">
        <v>0</v>
      </c>
      <c r="G18" s="44"/>
      <c r="H18" s="44"/>
      <c r="I18" s="191"/>
      <c r="K18" s="190"/>
      <c r="M18" s="44"/>
      <c r="N18" s="43"/>
      <c r="O18" s="195"/>
      <c r="P18" s="195"/>
      <c r="Q18" s="195"/>
      <c r="R18" s="195"/>
      <c r="S18" s="195"/>
      <c r="T18" s="195"/>
      <c r="U18" s="195"/>
      <c r="V18" s="195"/>
      <c r="W18" s="195"/>
      <c r="X18" s="195"/>
      <c r="Y18" s="195"/>
      <c r="AA18" s="61"/>
      <c r="AB18" s="61"/>
    </row>
    <row r="19" spans="1:28" ht="31.5" outlineLevel="1" x14ac:dyDescent="0.25">
      <c r="A19" s="8">
        <f t="shared" si="0"/>
        <v>11</v>
      </c>
      <c r="B19" s="41" t="s">
        <v>323</v>
      </c>
      <c r="C19" s="155" t="s">
        <v>585</v>
      </c>
      <c r="D19" s="42" t="s">
        <v>790</v>
      </c>
      <c r="E19" s="43" t="s">
        <v>528</v>
      </c>
      <c r="F19" s="190">
        <v>0</v>
      </c>
      <c r="G19" s="44" t="s">
        <v>746</v>
      </c>
      <c r="H19" s="44"/>
      <c r="I19" s="191"/>
      <c r="K19" s="190"/>
      <c r="M19" s="44"/>
      <c r="N19" s="43"/>
      <c r="O19" s="195"/>
      <c r="P19" s="195"/>
      <c r="Q19" s="195"/>
      <c r="R19" s="195"/>
      <c r="S19" s="195"/>
      <c r="T19" s="195"/>
      <c r="U19" s="195"/>
      <c r="V19" s="195"/>
      <c r="W19" s="195"/>
      <c r="X19" s="195"/>
      <c r="Y19" s="195"/>
      <c r="AA19" s="61"/>
      <c r="AB19" s="61"/>
    </row>
    <row r="20" spans="1:28" ht="31.5" outlineLevel="1" x14ac:dyDescent="0.25">
      <c r="A20" s="8">
        <f t="shared" si="0"/>
        <v>12</v>
      </c>
      <c r="B20" s="41" t="s">
        <v>323</v>
      </c>
      <c r="C20" s="56" t="s">
        <v>585</v>
      </c>
      <c r="D20" s="42" t="s">
        <v>791</v>
      </c>
      <c r="E20" s="43" t="s">
        <v>529</v>
      </c>
      <c r="F20" s="190">
        <v>0</v>
      </c>
      <c r="G20" s="44"/>
      <c r="H20" s="44"/>
      <c r="I20" s="191"/>
      <c r="K20" s="190"/>
      <c r="M20" s="44"/>
      <c r="N20" s="43"/>
      <c r="O20" s="195"/>
      <c r="P20" s="195"/>
      <c r="Q20" s="195"/>
      <c r="R20" s="195"/>
      <c r="S20" s="195"/>
      <c r="T20" s="195"/>
      <c r="U20" s="195"/>
      <c r="V20" s="195"/>
      <c r="W20" s="195"/>
      <c r="X20" s="195"/>
      <c r="Y20" s="195"/>
      <c r="AA20" s="61"/>
      <c r="AB20" s="61"/>
    </row>
    <row r="21" spans="1:28" ht="31.5" outlineLevel="1" x14ac:dyDescent="0.25">
      <c r="A21" s="8">
        <f t="shared" si="0"/>
        <v>13</v>
      </c>
      <c r="B21" s="41" t="s">
        <v>324</v>
      </c>
      <c r="C21" s="158" t="s">
        <v>586</v>
      </c>
      <c r="D21" s="42" t="s">
        <v>102</v>
      </c>
      <c r="E21" s="43" t="s">
        <v>905</v>
      </c>
      <c r="F21" s="190">
        <v>0</v>
      </c>
      <c r="G21" s="44"/>
      <c r="H21" s="44"/>
      <c r="I21" s="191"/>
      <c r="K21" s="190"/>
      <c r="M21" s="44"/>
      <c r="N21" s="43"/>
      <c r="O21" s="195"/>
      <c r="P21" s="195"/>
      <c r="Q21" s="195"/>
      <c r="R21" s="195"/>
      <c r="S21" s="195"/>
      <c r="T21" s="195"/>
      <c r="U21" s="195"/>
      <c r="V21" s="195"/>
      <c r="W21" s="195"/>
      <c r="X21" s="195"/>
      <c r="Y21" s="195"/>
      <c r="AA21" s="61"/>
      <c r="AB21" s="61"/>
    </row>
    <row r="22" spans="1:28" outlineLevel="1" x14ac:dyDescent="0.25">
      <c r="A22" s="8">
        <f t="shared" si="0"/>
        <v>14</v>
      </c>
      <c r="B22" s="41" t="s">
        <v>324</v>
      </c>
      <c r="C22" s="156" t="s">
        <v>586</v>
      </c>
      <c r="D22" s="42" t="s">
        <v>103</v>
      </c>
      <c r="E22" s="43" t="s">
        <v>532</v>
      </c>
      <c r="F22" s="190">
        <v>0</v>
      </c>
      <c r="G22" s="44"/>
      <c r="H22" s="44"/>
      <c r="I22" s="191"/>
      <c r="K22" s="190"/>
      <c r="M22" s="44"/>
      <c r="N22" s="43"/>
      <c r="O22" s="195"/>
      <c r="P22" s="195"/>
      <c r="Q22" s="195"/>
      <c r="R22" s="195"/>
      <c r="S22" s="195"/>
      <c r="T22" s="195"/>
      <c r="U22" s="195"/>
      <c r="V22" s="195"/>
      <c r="W22" s="195"/>
      <c r="X22" s="195"/>
      <c r="Y22" s="195"/>
      <c r="AA22" s="61"/>
      <c r="AB22" s="61"/>
    </row>
    <row r="23" spans="1:28" outlineLevel="1" x14ac:dyDescent="0.25">
      <c r="A23" s="8">
        <f t="shared" si="0"/>
        <v>15</v>
      </c>
      <c r="B23" s="41" t="s">
        <v>324</v>
      </c>
      <c r="C23" s="56" t="s">
        <v>586</v>
      </c>
      <c r="D23" s="42" t="s">
        <v>792</v>
      </c>
      <c r="E23" s="43" t="s">
        <v>534</v>
      </c>
      <c r="F23" s="190">
        <v>0</v>
      </c>
      <c r="G23" s="47" t="s">
        <v>746</v>
      </c>
      <c r="H23" s="44"/>
      <c r="I23" s="191"/>
      <c r="K23" s="190"/>
      <c r="M23" s="44"/>
      <c r="N23" s="43"/>
      <c r="O23" s="195"/>
      <c r="P23" s="195"/>
      <c r="Q23" s="195"/>
      <c r="R23" s="195"/>
      <c r="S23" s="195"/>
      <c r="T23" s="195"/>
      <c r="U23" s="195"/>
      <c r="V23" s="195"/>
      <c r="W23" s="195"/>
      <c r="X23" s="195"/>
      <c r="Y23" s="195"/>
      <c r="AA23" s="61"/>
      <c r="AB23" s="61"/>
    </row>
    <row r="24" spans="1:28" outlineLevel="1" x14ac:dyDescent="0.25">
      <c r="A24" s="8">
        <f t="shared" si="0"/>
        <v>16</v>
      </c>
      <c r="B24" s="41" t="s">
        <v>594</v>
      </c>
      <c r="C24" s="158" t="s">
        <v>587</v>
      </c>
      <c r="D24" s="42" t="s">
        <v>530</v>
      </c>
      <c r="E24" s="43" t="s">
        <v>1</v>
      </c>
      <c r="F24" s="190">
        <v>0</v>
      </c>
      <c r="G24" s="44"/>
      <c r="H24" s="44"/>
      <c r="I24" s="191"/>
      <c r="K24" s="190"/>
      <c r="M24" s="44"/>
      <c r="N24" s="43"/>
      <c r="O24" s="195"/>
      <c r="P24" s="195"/>
      <c r="Q24" s="195"/>
      <c r="R24" s="195"/>
      <c r="S24" s="195"/>
      <c r="T24" s="195"/>
      <c r="U24" s="195"/>
      <c r="V24" s="195"/>
      <c r="W24" s="195"/>
      <c r="X24" s="195"/>
      <c r="Y24" s="195"/>
      <c r="AA24" s="61"/>
      <c r="AB24" s="61"/>
    </row>
    <row r="25" spans="1:28" ht="31.5" outlineLevel="1" x14ac:dyDescent="0.25">
      <c r="A25" s="8">
        <f t="shared" si="0"/>
        <v>17</v>
      </c>
      <c r="B25" s="41" t="s">
        <v>594</v>
      </c>
      <c r="C25" s="159" t="s">
        <v>587</v>
      </c>
      <c r="D25" s="42" t="s">
        <v>531</v>
      </c>
      <c r="E25" s="43" t="s">
        <v>3</v>
      </c>
      <c r="F25" s="190">
        <v>0</v>
      </c>
      <c r="G25" s="44"/>
      <c r="H25" s="44"/>
      <c r="I25" s="191"/>
      <c r="K25" s="190"/>
      <c r="M25" s="44"/>
      <c r="N25" s="43"/>
      <c r="O25" s="195"/>
      <c r="P25" s="195"/>
      <c r="Q25" s="195"/>
      <c r="R25" s="195"/>
      <c r="S25" s="195"/>
      <c r="T25" s="195"/>
      <c r="U25" s="195"/>
      <c r="V25" s="195"/>
      <c r="W25" s="195"/>
      <c r="X25" s="195"/>
      <c r="Y25" s="195"/>
      <c r="AA25" s="61"/>
      <c r="AB25" s="61"/>
    </row>
    <row r="26" spans="1:28" ht="47.25" outlineLevel="1" x14ac:dyDescent="0.25">
      <c r="A26" s="8">
        <f t="shared" si="0"/>
        <v>18</v>
      </c>
      <c r="B26" s="41" t="s">
        <v>594</v>
      </c>
      <c r="C26" s="156" t="s">
        <v>587</v>
      </c>
      <c r="D26" s="42" t="s">
        <v>533</v>
      </c>
      <c r="E26" s="43" t="s">
        <v>832</v>
      </c>
      <c r="F26" s="190">
        <v>1</v>
      </c>
      <c r="G26" s="44"/>
      <c r="H26" s="44" t="s">
        <v>763</v>
      </c>
      <c r="I26" s="191"/>
      <c r="K26" s="190"/>
      <c r="M26" s="44"/>
      <c r="N26" s="43"/>
      <c r="O26" s="195"/>
      <c r="P26" s="195"/>
      <c r="Q26" s="195"/>
      <c r="R26" s="195"/>
      <c r="S26" s="195"/>
      <c r="T26" s="195"/>
      <c r="U26" s="195"/>
      <c r="V26" s="195"/>
      <c r="W26" s="195"/>
      <c r="X26" s="195"/>
      <c r="Y26" s="195"/>
      <c r="AA26" s="61"/>
      <c r="AB26" s="61"/>
    </row>
    <row r="27" spans="1:28" ht="47.25" outlineLevel="1" x14ac:dyDescent="0.25">
      <c r="A27" s="8">
        <f t="shared" si="0"/>
        <v>19</v>
      </c>
      <c r="B27" s="41" t="s">
        <v>594</v>
      </c>
      <c r="C27" s="56" t="s">
        <v>587</v>
      </c>
      <c r="D27" s="42" t="s">
        <v>793</v>
      </c>
      <c r="E27" s="43" t="s">
        <v>785</v>
      </c>
      <c r="F27" s="190">
        <v>1</v>
      </c>
      <c r="G27" s="44"/>
      <c r="H27" s="44" t="s">
        <v>763</v>
      </c>
      <c r="I27" s="191"/>
      <c r="K27" s="190"/>
      <c r="M27" s="44"/>
      <c r="N27" s="43"/>
      <c r="O27" s="195"/>
      <c r="P27" s="195"/>
      <c r="Q27" s="195"/>
      <c r="R27" s="195"/>
      <c r="S27" s="195"/>
      <c r="T27" s="195"/>
      <c r="U27" s="195"/>
      <c r="V27" s="195"/>
      <c r="W27" s="195"/>
      <c r="X27" s="195"/>
      <c r="Y27" s="195"/>
      <c r="AA27" s="61"/>
      <c r="AB27" s="61"/>
    </row>
    <row r="28" spans="1:28" ht="31.5" outlineLevel="1" x14ac:dyDescent="0.25">
      <c r="A28" s="8">
        <f t="shared" si="0"/>
        <v>20</v>
      </c>
      <c r="B28" s="41" t="s">
        <v>595</v>
      </c>
      <c r="C28" s="158" t="s">
        <v>588</v>
      </c>
      <c r="D28" s="42" t="s">
        <v>535</v>
      </c>
      <c r="E28" s="317" t="s">
        <v>540</v>
      </c>
      <c r="F28" s="190">
        <f>+GST!F49</f>
        <v>1</v>
      </c>
      <c r="G28" s="44" t="s">
        <v>746</v>
      </c>
      <c r="H28" s="44"/>
      <c r="I28" s="191"/>
      <c r="K28" s="190"/>
      <c r="M28" s="44"/>
      <c r="N28" s="43"/>
      <c r="O28" s="195"/>
      <c r="P28" s="195"/>
      <c r="Q28" s="195"/>
      <c r="R28" s="195"/>
      <c r="S28" s="195"/>
      <c r="T28" s="195"/>
      <c r="U28" s="195"/>
      <c r="V28" s="195"/>
      <c r="W28" s="195"/>
      <c r="X28" s="195"/>
      <c r="Y28" s="195"/>
      <c r="AA28" s="61"/>
      <c r="AB28" s="61"/>
    </row>
    <row r="29" spans="1:28" outlineLevel="1" x14ac:dyDescent="0.25">
      <c r="A29" s="8">
        <f t="shared" si="0"/>
        <v>21</v>
      </c>
      <c r="B29" s="41" t="s">
        <v>595</v>
      </c>
      <c r="C29" s="156" t="s">
        <v>588</v>
      </c>
      <c r="D29" s="42" t="s">
        <v>536</v>
      </c>
      <c r="E29" s="43" t="s">
        <v>2</v>
      </c>
      <c r="F29" s="190">
        <v>0</v>
      </c>
      <c r="G29" s="44"/>
      <c r="H29" s="44"/>
      <c r="I29" s="191"/>
      <c r="K29" s="190"/>
      <c r="M29" s="44"/>
      <c r="N29" s="43"/>
      <c r="O29" s="195"/>
      <c r="P29" s="195"/>
      <c r="Q29" s="195"/>
      <c r="R29" s="195"/>
      <c r="S29" s="195"/>
      <c r="T29" s="195"/>
      <c r="U29" s="195"/>
      <c r="V29" s="195"/>
      <c r="W29" s="195"/>
      <c r="X29" s="195"/>
      <c r="Y29" s="195"/>
      <c r="AA29" s="61"/>
      <c r="AB29" s="61"/>
    </row>
    <row r="30" spans="1:28" ht="31.5" outlineLevel="1" x14ac:dyDescent="0.25">
      <c r="A30" s="8">
        <f t="shared" si="0"/>
        <v>22</v>
      </c>
      <c r="B30" s="41" t="s">
        <v>595</v>
      </c>
      <c r="C30" s="159" t="s">
        <v>588</v>
      </c>
      <c r="D30" s="42" t="s">
        <v>537</v>
      </c>
      <c r="E30" s="43" t="s">
        <v>542</v>
      </c>
      <c r="F30" s="190">
        <v>0</v>
      </c>
      <c r="G30" s="44"/>
      <c r="H30" s="44"/>
      <c r="I30" s="191"/>
      <c r="K30" s="190"/>
      <c r="M30" s="44"/>
      <c r="N30" s="43"/>
      <c r="O30" s="195"/>
      <c r="P30" s="195"/>
      <c r="Q30" s="195"/>
      <c r="R30" s="195"/>
      <c r="S30" s="195"/>
      <c r="T30" s="195"/>
      <c r="U30" s="195"/>
      <c r="V30" s="195"/>
      <c r="W30" s="195"/>
      <c r="X30" s="195"/>
      <c r="Y30" s="195"/>
      <c r="AA30" s="61"/>
      <c r="AB30" s="61"/>
    </row>
    <row r="31" spans="1:28" ht="31.5" outlineLevel="1" x14ac:dyDescent="0.25">
      <c r="A31" s="8">
        <f t="shared" si="0"/>
        <v>23</v>
      </c>
      <c r="B31" s="41" t="s">
        <v>595</v>
      </c>
      <c r="C31" s="56" t="s">
        <v>588</v>
      </c>
      <c r="D31" s="42" t="s">
        <v>538</v>
      </c>
      <c r="E31" s="43" t="s">
        <v>543</v>
      </c>
      <c r="F31" s="190">
        <v>0</v>
      </c>
      <c r="G31" s="44" t="s">
        <v>746</v>
      </c>
      <c r="H31" s="44"/>
      <c r="I31" s="191"/>
      <c r="K31" s="190"/>
      <c r="M31" s="44"/>
      <c r="N31" s="43"/>
      <c r="O31" s="195"/>
      <c r="P31" s="195"/>
      <c r="Q31" s="195"/>
      <c r="R31" s="195"/>
      <c r="S31" s="195"/>
      <c r="T31" s="195"/>
      <c r="U31" s="195"/>
      <c r="V31" s="195"/>
      <c r="W31" s="195"/>
      <c r="X31" s="195"/>
      <c r="Y31" s="195"/>
      <c r="AA31" s="61"/>
      <c r="AB31" s="61"/>
    </row>
    <row r="32" spans="1:28" outlineLevel="1" x14ac:dyDescent="0.25">
      <c r="A32" s="8">
        <f t="shared" si="0"/>
        <v>24</v>
      </c>
      <c r="B32" s="41" t="s">
        <v>596</v>
      </c>
      <c r="C32" s="155" t="s">
        <v>589</v>
      </c>
      <c r="D32" s="42" t="s">
        <v>539</v>
      </c>
      <c r="E32" s="43" t="s">
        <v>545</v>
      </c>
      <c r="F32" s="190">
        <v>0</v>
      </c>
      <c r="G32" s="44"/>
      <c r="H32" s="44"/>
      <c r="I32" s="191"/>
      <c r="K32" s="190"/>
      <c r="M32" s="44"/>
      <c r="N32" s="43"/>
      <c r="O32" s="195"/>
      <c r="P32" s="195"/>
      <c r="Q32" s="195"/>
      <c r="R32" s="195"/>
      <c r="S32" s="195"/>
      <c r="T32" s="195"/>
      <c r="U32" s="195"/>
      <c r="V32" s="195"/>
      <c r="W32" s="195"/>
      <c r="X32" s="195"/>
      <c r="Y32" s="195"/>
      <c r="AA32" s="61"/>
      <c r="AB32" s="61"/>
    </row>
    <row r="33" spans="1:28" ht="31.5" outlineLevel="1" x14ac:dyDescent="0.25">
      <c r="A33" s="8">
        <f t="shared" si="0"/>
        <v>25</v>
      </c>
      <c r="B33" s="41" t="s">
        <v>596</v>
      </c>
      <c r="C33" s="56" t="s">
        <v>589</v>
      </c>
      <c r="D33" s="42" t="s">
        <v>541</v>
      </c>
      <c r="E33" s="43" t="s">
        <v>547</v>
      </c>
      <c r="F33" s="190">
        <v>1</v>
      </c>
      <c r="G33" s="44" t="s">
        <v>746</v>
      </c>
      <c r="H33" s="44"/>
      <c r="I33" s="191"/>
      <c r="K33" s="190"/>
      <c r="M33" s="44"/>
      <c r="N33" s="43"/>
      <c r="O33" s="195"/>
      <c r="P33" s="195"/>
      <c r="Q33" s="195"/>
      <c r="R33" s="195"/>
      <c r="S33" s="195"/>
      <c r="T33" s="195"/>
      <c r="U33" s="195"/>
      <c r="V33" s="195"/>
      <c r="W33" s="195"/>
      <c r="X33" s="195"/>
      <c r="Y33" s="195"/>
      <c r="AA33" s="61"/>
      <c r="AB33" s="61"/>
    </row>
    <row r="34" spans="1:28" ht="31.5" outlineLevel="1" x14ac:dyDescent="0.25">
      <c r="A34" s="8">
        <f t="shared" si="0"/>
        <v>26</v>
      </c>
      <c r="B34" s="41" t="s">
        <v>597</v>
      </c>
      <c r="C34" s="158" t="s">
        <v>590</v>
      </c>
      <c r="D34" s="42" t="s">
        <v>544</v>
      </c>
      <c r="E34" s="43" t="s">
        <v>0</v>
      </c>
      <c r="F34" s="190">
        <v>0</v>
      </c>
      <c r="G34" s="44"/>
      <c r="H34" s="44"/>
      <c r="I34" s="191"/>
      <c r="K34" s="190"/>
      <c r="M34" s="44"/>
      <c r="N34" s="43"/>
      <c r="O34" s="195"/>
      <c r="P34" s="195"/>
      <c r="Q34" s="195"/>
      <c r="R34" s="195"/>
      <c r="S34" s="195"/>
      <c r="T34" s="195"/>
      <c r="U34" s="195"/>
      <c r="V34" s="195"/>
      <c r="W34" s="195"/>
      <c r="X34" s="195"/>
      <c r="Y34" s="195"/>
      <c r="AA34" s="61"/>
      <c r="AB34" s="61"/>
    </row>
    <row r="35" spans="1:28" ht="47.25" outlineLevel="1" x14ac:dyDescent="0.25">
      <c r="A35" s="8">
        <f t="shared" si="0"/>
        <v>27</v>
      </c>
      <c r="B35" s="41" t="s">
        <v>597</v>
      </c>
      <c r="C35" s="159" t="s">
        <v>590</v>
      </c>
      <c r="D35" s="42" t="s">
        <v>546</v>
      </c>
      <c r="E35" s="43" t="s">
        <v>550</v>
      </c>
      <c r="F35" s="190" t="s">
        <v>142</v>
      </c>
      <c r="G35" s="44" t="s">
        <v>746</v>
      </c>
      <c r="H35" s="44"/>
      <c r="I35" s="191"/>
      <c r="K35" s="190"/>
      <c r="M35" s="44"/>
      <c r="N35" s="43"/>
      <c r="O35" s="195"/>
      <c r="P35" s="195"/>
      <c r="Q35" s="195"/>
      <c r="R35" s="195"/>
      <c r="S35" s="195"/>
      <c r="T35" s="195"/>
      <c r="U35" s="195"/>
      <c r="V35" s="195"/>
      <c r="W35" s="195"/>
      <c r="X35" s="195"/>
      <c r="Y35" s="195"/>
      <c r="AA35" s="61"/>
      <c r="AB35" s="61"/>
    </row>
    <row r="36" spans="1:28" ht="31.5" outlineLevel="1" x14ac:dyDescent="0.25">
      <c r="A36" s="8">
        <f t="shared" si="0"/>
        <v>28</v>
      </c>
      <c r="B36" s="41" t="s">
        <v>597</v>
      </c>
      <c r="C36" s="159" t="s">
        <v>590</v>
      </c>
      <c r="D36" s="316" t="s">
        <v>794</v>
      </c>
      <c r="E36" s="317" t="s">
        <v>836</v>
      </c>
      <c r="F36" s="190">
        <f>+IFT!F42</f>
        <v>1</v>
      </c>
      <c r="G36" s="44"/>
      <c r="H36" s="44"/>
      <c r="I36" s="191"/>
      <c r="K36" s="190"/>
      <c r="M36" s="44"/>
      <c r="N36" s="43"/>
      <c r="O36" s="195"/>
      <c r="P36" s="195"/>
      <c r="Q36" s="195"/>
      <c r="R36" s="195"/>
      <c r="S36" s="195"/>
      <c r="T36" s="195"/>
      <c r="U36" s="195"/>
      <c r="V36" s="195"/>
      <c r="W36" s="195"/>
      <c r="X36" s="195"/>
      <c r="Y36" s="195"/>
      <c r="AA36" s="61"/>
      <c r="AB36" s="61"/>
    </row>
    <row r="37" spans="1:28" outlineLevel="1" x14ac:dyDescent="0.25">
      <c r="A37" s="8">
        <f t="shared" si="0"/>
        <v>29</v>
      </c>
      <c r="B37" s="41" t="s">
        <v>597</v>
      </c>
      <c r="C37" s="159" t="s">
        <v>590</v>
      </c>
      <c r="D37" s="42" t="s">
        <v>795</v>
      </c>
      <c r="E37" s="43" t="s">
        <v>553</v>
      </c>
      <c r="F37" s="190" t="s">
        <v>142</v>
      </c>
      <c r="G37" s="44" t="s">
        <v>746</v>
      </c>
      <c r="H37" s="44"/>
      <c r="I37" s="191"/>
      <c r="K37" s="190"/>
      <c r="M37" s="44"/>
      <c r="N37" s="43"/>
      <c r="O37" s="195"/>
      <c r="P37" s="195"/>
      <c r="Q37" s="195"/>
      <c r="R37" s="195"/>
      <c r="S37" s="195"/>
      <c r="T37" s="195"/>
      <c r="U37" s="195"/>
      <c r="V37" s="195"/>
      <c r="W37" s="195"/>
      <c r="X37" s="195"/>
      <c r="Y37" s="195"/>
      <c r="AA37" s="61"/>
      <c r="AB37" s="61"/>
    </row>
    <row r="38" spans="1:28" outlineLevel="1" x14ac:dyDescent="0.25">
      <c r="A38" s="8">
        <f t="shared" si="0"/>
        <v>30</v>
      </c>
      <c r="B38" s="41" t="s">
        <v>597</v>
      </c>
      <c r="C38" s="159" t="s">
        <v>590</v>
      </c>
      <c r="D38" s="42" t="s">
        <v>796</v>
      </c>
      <c r="E38" s="43" t="s">
        <v>555</v>
      </c>
      <c r="F38" s="190">
        <v>0</v>
      </c>
      <c r="G38" s="44" t="s">
        <v>746</v>
      </c>
      <c r="H38" s="44"/>
      <c r="I38" s="191"/>
      <c r="K38" s="190"/>
      <c r="M38" s="44"/>
      <c r="N38" s="43"/>
      <c r="O38" s="195"/>
      <c r="P38" s="195"/>
      <c r="Q38" s="195"/>
      <c r="R38" s="195"/>
      <c r="S38" s="195"/>
      <c r="T38" s="195"/>
      <c r="U38" s="195"/>
      <c r="V38" s="195"/>
      <c r="W38" s="195"/>
      <c r="X38" s="195"/>
      <c r="Y38" s="195"/>
      <c r="AA38" s="61"/>
      <c r="AB38" s="61"/>
    </row>
    <row r="39" spans="1:28" outlineLevel="1" x14ac:dyDescent="0.25">
      <c r="A39" s="8">
        <f t="shared" si="0"/>
        <v>31</v>
      </c>
      <c r="B39" s="41" t="s">
        <v>597</v>
      </c>
      <c r="C39" s="160" t="s">
        <v>590</v>
      </c>
      <c r="D39" s="42" t="s">
        <v>797</v>
      </c>
      <c r="E39" s="43" t="s">
        <v>557</v>
      </c>
      <c r="F39" s="190">
        <v>0</v>
      </c>
      <c r="G39" s="44" t="s">
        <v>746</v>
      </c>
      <c r="H39" s="44"/>
      <c r="I39" s="191"/>
      <c r="K39" s="190"/>
      <c r="M39" s="44"/>
      <c r="N39" s="43"/>
      <c r="O39" s="195"/>
      <c r="P39" s="195"/>
      <c r="Q39" s="195"/>
      <c r="R39" s="195"/>
      <c r="S39" s="195"/>
      <c r="T39" s="195"/>
      <c r="U39" s="195"/>
      <c r="V39" s="195"/>
      <c r="W39" s="195"/>
      <c r="X39" s="195"/>
      <c r="Y39" s="195"/>
      <c r="AA39" s="61"/>
      <c r="AB39" s="61"/>
    </row>
    <row r="40" spans="1:28" outlineLevel="1" x14ac:dyDescent="0.25">
      <c r="A40" s="8">
        <f t="shared" si="0"/>
        <v>32</v>
      </c>
      <c r="B40" s="41" t="s">
        <v>597</v>
      </c>
      <c r="C40" s="159" t="s">
        <v>590</v>
      </c>
      <c r="D40" s="42" t="s">
        <v>798</v>
      </c>
      <c r="E40" s="43" t="s">
        <v>559</v>
      </c>
      <c r="F40" s="190">
        <v>0</v>
      </c>
      <c r="G40" s="44" t="s">
        <v>746</v>
      </c>
      <c r="H40" s="44"/>
      <c r="I40" s="191"/>
      <c r="K40" s="190"/>
      <c r="M40" s="44"/>
      <c r="N40" s="43"/>
      <c r="O40" s="195"/>
      <c r="P40" s="195"/>
      <c r="Q40" s="195"/>
      <c r="R40" s="195"/>
      <c r="S40" s="195"/>
      <c r="T40" s="195"/>
      <c r="U40" s="195"/>
      <c r="V40" s="195"/>
      <c r="W40" s="195"/>
      <c r="X40" s="195"/>
      <c r="Y40" s="195"/>
      <c r="AA40" s="61"/>
      <c r="AB40" s="61"/>
    </row>
    <row r="41" spans="1:28" ht="31.5" outlineLevel="1" x14ac:dyDescent="0.25">
      <c r="A41" s="8">
        <f t="shared" si="0"/>
        <v>33</v>
      </c>
      <c r="B41" s="41"/>
      <c r="C41" s="159" t="s">
        <v>590</v>
      </c>
      <c r="D41" s="42" t="s">
        <v>799</v>
      </c>
      <c r="E41" s="43" t="s">
        <v>834</v>
      </c>
      <c r="F41" s="190">
        <v>0</v>
      </c>
      <c r="G41" s="44" t="s">
        <v>746</v>
      </c>
      <c r="H41" s="44"/>
      <c r="I41" s="191"/>
      <c r="K41" s="190"/>
      <c r="M41" s="44"/>
      <c r="N41" s="43"/>
      <c r="O41" s="195"/>
      <c r="P41" s="195"/>
      <c r="Q41" s="195"/>
      <c r="R41" s="195"/>
      <c r="S41" s="195"/>
      <c r="T41" s="195"/>
      <c r="U41" s="195"/>
      <c r="V41" s="195"/>
      <c r="W41" s="195"/>
      <c r="X41" s="195"/>
      <c r="Y41" s="195"/>
      <c r="AA41" s="61"/>
      <c r="AB41" s="61"/>
    </row>
    <row r="42" spans="1:28" ht="31.5" outlineLevel="1" x14ac:dyDescent="0.25">
      <c r="A42" s="8">
        <f t="shared" si="0"/>
        <v>34</v>
      </c>
      <c r="B42" s="41" t="s">
        <v>597</v>
      </c>
      <c r="C42" s="159" t="s">
        <v>590</v>
      </c>
      <c r="D42" s="42" t="s">
        <v>800</v>
      </c>
      <c r="E42" s="43" t="s">
        <v>561</v>
      </c>
      <c r="F42" s="190">
        <v>0</v>
      </c>
      <c r="G42" s="44" t="s">
        <v>746</v>
      </c>
      <c r="H42" s="44"/>
      <c r="I42" s="191"/>
      <c r="K42" s="190"/>
      <c r="M42" s="44"/>
      <c r="N42" s="43"/>
      <c r="O42" s="195"/>
      <c r="P42" s="195"/>
      <c r="Q42" s="195"/>
      <c r="R42" s="195"/>
      <c r="S42" s="195"/>
      <c r="T42" s="195"/>
      <c r="U42" s="195"/>
      <c r="V42" s="195"/>
      <c r="W42" s="195"/>
      <c r="X42" s="195"/>
      <c r="Y42" s="195"/>
      <c r="AA42" s="61"/>
      <c r="AB42" s="61"/>
    </row>
    <row r="43" spans="1:28" ht="31.5" outlineLevel="1" x14ac:dyDescent="0.25">
      <c r="A43" s="8">
        <f t="shared" si="0"/>
        <v>35</v>
      </c>
      <c r="B43" s="41" t="s">
        <v>597</v>
      </c>
      <c r="C43" s="159" t="s">
        <v>590</v>
      </c>
      <c r="D43" s="42" t="s">
        <v>801</v>
      </c>
      <c r="E43" s="43" t="s">
        <v>562</v>
      </c>
      <c r="F43" s="190">
        <v>0</v>
      </c>
      <c r="G43" s="44" t="s">
        <v>746</v>
      </c>
      <c r="H43" s="44"/>
      <c r="I43" s="191"/>
      <c r="K43" s="190"/>
      <c r="M43" s="44"/>
      <c r="N43" s="43"/>
      <c r="O43" s="195"/>
      <c r="P43" s="195"/>
      <c r="Q43" s="195"/>
      <c r="R43" s="195"/>
      <c r="S43" s="195"/>
      <c r="T43" s="195"/>
      <c r="U43" s="195"/>
      <c r="V43" s="195"/>
      <c r="W43" s="195"/>
      <c r="X43" s="195"/>
      <c r="Y43" s="195"/>
      <c r="AA43" s="61"/>
      <c r="AB43" s="61"/>
    </row>
    <row r="44" spans="1:28" outlineLevel="1" x14ac:dyDescent="0.25">
      <c r="A44" s="8">
        <f t="shared" si="0"/>
        <v>36</v>
      </c>
      <c r="B44" s="41" t="s">
        <v>597</v>
      </c>
      <c r="C44" s="159" t="s">
        <v>590</v>
      </c>
      <c r="D44" s="42" t="s">
        <v>835</v>
      </c>
      <c r="E44" s="43" t="s">
        <v>563</v>
      </c>
      <c r="F44" s="190">
        <v>0</v>
      </c>
      <c r="G44" s="44" t="s">
        <v>746</v>
      </c>
      <c r="H44" s="44"/>
      <c r="I44" s="191"/>
      <c r="K44" s="190"/>
      <c r="M44" s="44"/>
      <c r="N44" s="43"/>
      <c r="O44" s="195"/>
      <c r="P44" s="195"/>
      <c r="Q44" s="195"/>
      <c r="R44" s="195"/>
      <c r="S44" s="195"/>
      <c r="T44" s="195"/>
      <c r="U44" s="195"/>
      <c r="V44" s="195"/>
      <c r="W44" s="195"/>
      <c r="X44" s="195"/>
      <c r="Y44" s="195"/>
      <c r="AA44" s="61"/>
      <c r="AB44" s="61"/>
    </row>
    <row r="45" spans="1:28" outlineLevel="1" x14ac:dyDescent="0.25">
      <c r="A45" s="8">
        <f t="shared" si="0"/>
        <v>37</v>
      </c>
      <c r="B45" s="41" t="s">
        <v>597</v>
      </c>
      <c r="C45" s="56" t="s">
        <v>590</v>
      </c>
      <c r="D45" s="42" t="s">
        <v>907</v>
      </c>
      <c r="E45" s="315" t="s">
        <v>906</v>
      </c>
      <c r="F45" s="190" t="s">
        <v>142</v>
      </c>
      <c r="G45" s="44"/>
      <c r="H45" s="44"/>
      <c r="I45" s="191"/>
      <c r="K45" s="190" t="s">
        <v>142</v>
      </c>
      <c r="M45" s="44"/>
      <c r="N45" s="43"/>
      <c r="O45" s="195"/>
      <c r="P45" s="195"/>
      <c r="Q45" s="195"/>
      <c r="R45" s="195"/>
      <c r="S45" s="195"/>
      <c r="T45" s="195"/>
      <c r="U45" s="195"/>
      <c r="V45" s="195"/>
      <c r="W45" s="195"/>
      <c r="X45" s="195"/>
      <c r="Y45" s="195"/>
      <c r="AA45" s="61"/>
      <c r="AB45" s="61"/>
    </row>
    <row r="46" spans="1:28" ht="31.5" outlineLevel="1" x14ac:dyDescent="0.25">
      <c r="A46" s="8">
        <f t="shared" si="0"/>
        <v>38</v>
      </c>
      <c r="B46" s="41" t="s">
        <v>598</v>
      </c>
      <c r="C46" s="158" t="s">
        <v>591</v>
      </c>
      <c r="D46" s="42" t="s">
        <v>548</v>
      </c>
      <c r="E46" s="43" t="s">
        <v>21</v>
      </c>
      <c r="F46" s="190">
        <v>1</v>
      </c>
      <c r="G46" s="44"/>
      <c r="H46" s="44"/>
      <c r="I46" s="191"/>
      <c r="K46" s="190"/>
      <c r="M46" s="44"/>
      <c r="N46" s="43"/>
      <c r="O46" s="195"/>
      <c r="P46" s="195"/>
      <c r="Q46" s="195"/>
      <c r="R46" s="195"/>
      <c r="S46" s="195"/>
      <c r="T46" s="195"/>
      <c r="U46" s="195"/>
      <c r="V46" s="195"/>
      <c r="W46" s="195"/>
      <c r="X46" s="195"/>
      <c r="Y46" s="195"/>
      <c r="AA46" s="61"/>
      <c r="AB46" s="61"/>
    </row>
    <row r="47" spans="1:28" ht="31.5" outlineLevel="1" x14ac:dyDescent="0.25">
      <c r="A47" s="8">
        <f t="shared" si="0"/>
        <v>39</v>
      </c>
      <c r="B47" s="41" t="s">
        <v>598</v>
      </c>
      <c r="C47" s="159" t="s">
        <v>591</v>
      </c>
      <c r="D47" s="42" t="s">
        <v>549</v>
      </c>
      <c r="E47" s="43" t="s">
        <v>566</v>
      </c>
      <c r="F47" s="190">
        <v>0</v>
      </c>
      <c r="G47" s="44" t="s">
        <v>746</v>
      </c>
      <c r="H47" s="44"/>
      <c r="I47" s="192"/>
      <c r="K47" s="190"/>
      <c r="M47" s="44"/>
      <c r="N47" s="48"/>
      <c r="O47" s="196"/>
      <c r="P47" s="196"/>
      <c r="Q47" s="196"/>
      <c r="R47" s="196"/>
      <c r="S47" s="196"/>
      <c r="T47" s="196"/>
      <c r="U47" s="196"/>
      <c r="V47" s="196"/>
      <c r="W47" s="196"/>
      <c r="X47" s="196"/>
      <c r="Y47" s="196"/>
      <c r="AA47" s="61"/>
      <c r="AB47" s="61"/>
    </row>
    <row r="48" spans="1:28" ht="31.5" outlineLevel="1" x14ac:dyDescent="0.25">
      <c r="A48" s="8">
        <f t="shared" si="0"/>
        <v>40</v>
      </c>
      <c r="B48" s="41" t="s">
        <v>598</v>
      </c>
      <c r="C48" s="159" t="s">
        <v>591</v>
      </c>
      <c r="D48" s="42" t="s">
        <v>551</v>
      </c>
      <c r="E48" s="43" t="s">
        <v>568</v>
      </c>
      <c r="F48" s="190">
        <v>0</v>
      </c>
      <c r="G48" s="44" t="s">
        <v>746</v>
      </c>
      <c r="H48" s="44"/>
      <c r="I48" s="191"/>
      <c r="K48" s="190"/>
      <c r="M48" s="44"/>
      <c r="N48" s="43"/>
      <c r="O48" s="195"/>
      <c r="P48" s="195"/>
      <c r="Q48" s="195"/>
      <c r="R48" s="195"/>
      <c r="S48" s="195"/>
      <c r="T48" s="195"/>
      <c r="U48" s="195"/>
      <c r="V48" s="195"/>
      <c r="W48" s="195"/>
      <c r="X48" s="195"/>
      <c r="Y48" s="195"/>
      <c r="AA48" s="61"/>
      <c r="AB48" s="61"/>
    </row>
    <row r="49" spans="1:28" ht="31.5" outlineLevel="1" x14ac:dyDescent="0.25">
      <c r="A49" s="8">
        <f t="shared" si="0"/>
        <v>41</v>
      </c>
      <c r="B49" s="41" t="s">
        <v>598</v>
      </c>
      <c r="C49" s="159" t="s">
        <v>591</v>
      </c>
      <c r="D49" s="42" t="s">
        <v>552</v>
      </c>
      <c r="E49" s="43" t="s">
        <v>570</v>
      </c>
      <c r="F49" s="190">
        <v>0</v>
      </c>
      <c r="G49" s="44" t="s">
        <v>746</v>
      </c>
      <c r="H49" s="44"/>
      <c r="I49" s="191"/>
      <c r="K49" s="190"/>
      <c r="M49" s="44"/>
      <c r="N49" s="43"/>
      <c r="O49" s="195"/>
      <c r="P49" s="195"/>
      <c r="Q49" s="195"/>
      <c r="R49" s="195"/>
      <c r="S49" s="195"/>
      <c r="T49" s="195"/>
      <c r="U49" s="195"/>
      <c r="V49" s="195"/>
      <c r="W49" s="195"/>
      <c r="X49" s="195"/>
      <c r="Y49" s="195"/>
      <c r="AA49" s="61"/>
      <c r="AB49" s="61"/>
    </row>
    <row r="50" spans="1:28" ht="31.5" outlineLevel="1" x14ac:dyDescent="0.25">
      <c r="A50" s="8">
        <f t="shared" si="0"/>
        <v>42</v>
      </c>
      <c r="B50" s="41" t="s">
        <v>598</v>
      </c>
      <c r="C50" s="161" t="s">
        <v>591</v>
      </c>
      <c r="D50" s="42" t="s">
        <v>554</v>
      </c>
      <c r="E50" s="43" t="s">
        <v>572</v>
      </c>
      <c r="F50" s="190">
        <v>0</v>
      </c>
      <c r="G50" s="44" t="s">
        <v>746</v>
      </c>
      <c r="H50" s="44"/>
      <c r="I50" s="191"/>
      <c r="K50" s="190"/>
      <c r="M50" s="44"/>
      <c r="N50" s="43"/>
      <c r="O50" s="195"/>
      <c r="P50" s="195"/>
      <c r="Q50" s="195"/>
      <c r="R50" s="195"/>
      <c r="S50" s="195"/>
      <c r="T50" s="195"/>
      <c r="U50" s="195"/>
      <c r="V50" s="195"/>
      <c r="W50" s="195"/>
      <c r="X50" s="195"/>
      <c r="Y50" s="195"/>
      <c r="AA50" s="61"/>
      <c r="AB50" s="61"/>
    </row>
    <row r="51" spans="1:28" ht="31.5" outlineLevel="1" x14ac:dyDescent="0.25">
      <c r="A51" s="8">
        <f t="shared" si="0"/>
        <v>43</v>
      </c>
      <c r="B51" s="41" t="s">
        <v>598</v>
      </c>
      <c r="C51" s="159" t="s">
        <v>591</v>
      </c>
      <c r="D51" s="42" t="s">
        <v>556</v>
      </c>
      <c r="E51" s="43" t="s">
        <v>574</v>
      </c>
      <c r="F51" s="190">
        <v>0</v>
      </c>
      <c r="G51" s="47" t="s">
        <v>746</v>
      </c>
      <c r="H51" s="44"/>
      <c r="I51" s="191"/>
      <c r="K51" s="190"/>
      <c r="M51" s="44"/>
      <c r="N51" s="43"/>
      <c r="O51" s="195"/>
      <c r="P51" s="195"/>
      <c r="Q51" s="195"/>
      <c r="R51" s="195"/>
      <c r="S51" s="195"/>
      <c r="T51" s="195"/>
      <c r="U51" s="195"/>
      <c r="V51" s="195"/>
      <c r="W51" s="195"/>
      <c r="X51" s="195"/>
      <c r="Y51" s="195"/>
      <c r="AA51" s="61"/>
      <c r="AB51" s="61"/>
    </row>
    <row r="52" spans="1:28" ht="31.5" outlineLevel="1" x14ac:dyDescent="0.25">
      <c r="A52" s="8">
        <f t="shared" si="0"/>
        <v>44</v>
      </c>
      <c r="B52" s="41" t="s">
        <v>598</v>
      </c>
      <c r="C52" s="159" t="s">
        <v>591</v>
      </c>
      <c r="D52" s="42" t="s">
        <v>558</v>
      </c>
      <c r="E52" s="43" t="s">
        <v>575</v>
      </c>
      <c r="F52" s="190">
        <v>0</v>
      </c>
      <c r="G52" s="44" t="s">
        <v>746</v>
      </c>
      <c r="H52" s="44"/>
      <c r="I52" s="191"/>
      <c r="K52" s="190"/>
      <c r="M52" s="44"/>
      <c r="N52" s="43"/>
      <c r="O52" s="195"/>
      <c r="P52" s="195"/>
      <c r="Q52" s="195"/>
      <c r="R52" s="195"/>
      <c r="S52" s="195"/>
      <c r="T52" s="195"/>
      <c r="U52" s="195"/>
      <c r="V52" s="195"/>
      <c r="W52" s="195"/>
      <c r="X52" s="195"/>
      <c r="Y52" s="195"/>
      <c r="AA52" s="61"/>
      <c r="AB52" s="61"/>
    </row>
    <row r="53" spans="1:28" ht="31.5" outlineLevel="1" x14ac:dyDescent="0.25">
      <c r="A53" s="8">
        <f t="shared" si="0"/>
        <v>45</v>
      </c>
      <c r="B53" s="41" t="s">
        <v>598</v>
      </c>
      <c r="C53" s="56" t="s">
        <v>591</v>
      </c>
      <c r="D53" s="42" t="s">
        <v>560</v>
      </c>
      <c r="E53" s="43" t="s">
        <v>908</v>
      </c>
      <c r="F53" s="190">
        <v>0</v>
      </c>
      <c r="G53" s="44" t="s">
        <v>746</v>
      </c>
      <c r="H53" s="44"/>
      <c r="I53" s="191"/>
      <c r="K53" s="190"/>
      <c r="M53" s="44"/>
      <c r="N53" s="43"/>
      <c r="O53" s="195"/>
      <c r="P53" s="195"/>
      <c r="Q53" s="195"/>
      <c r="R53" s="195"/>
      <c r="S53" s="195"/>
      <c r="T53" s="195"/>
      <c r="U53" s="195"/>
      <c r="V53" s="195"/>
      <c r="W53" s="195"/>
      <c r="X53" s="195"/>
      <c r="Y53" s="195"/>
      <c r="AA53" s="61"/>
      <c r="AB53" s="61"/>
    </row>
    <row r="54" spans="1:28" ht="31.5" outlineLevel="1" x14ac:dyDescent="0.25">
      <c r="A54" s="8">
        <f t="shared" si="0"/>
        <v>46</v>
      </c>
      <c r="B54" s="41" t="s">
        <v>599</v>
      </c>
      <c r="C54" s="158" t="s">
        <v>592</v>
      </c>
      <c r="D54" s="42" t="s">
        <v>564</v>
      </c>
      <c r="E54" s="43" t="s">
        <v>909</v>
      </c>
      <c r="F54" s="190">
        <v>0</v>
      </c>
      <c r="G54" s="44" t="s">
        <v>746</v>
      </c>
      <c r="H54" s="44"/>
      <c r="I54" s="191"/>
      <c r="K54" s="190"/>
      <c r="M54" s="44"/>
      <c r="N54" s="43"/>
      <c r="O54" s="195"/>
      <c r="P54" s="195"/>
      <c r="Q54" s="195"/>
      <c r="R54" s="195"/>
      <c r="S54" s="195"/>
      <c r="T54" s="195"/>
      <c r="U54" s="195"/>
      <c r="V54" s="195"/>
      <c r="W54" s="195"/>
      <c r="X54" s="195"/>
      <c r="Y54" s="195"/>
      <c r="AA54" s="61"/>
      <c r="AB54" s="61"/>
    </row>
    <row r="55" spans="1:28" outlineLevel="1" x14ac:dyDescent="0.25">
      <c r="A55" s="8">
        <f t="shared" si="0"/>
        <v>47</v>
      </c>
      <c r="B55" s="41" t="s">
        <v>599</v>
      </c>
      <c r="C55" s="159" t="s">
        <v>592</v>
      </c>
      <c r="D55" s="42" t="s">
        <v>565</v>
      </c>
      <c r="E55" s="43" t="s">
        <v>578</v>
      </c>
      <c r="F55" s="190">
        <v>1</v>
      </c>
      <c r="G55" s="44" t="s">
        <v>746</v>
      </c>
      <c r="H55" s="44"/>
      <c r="I55" s="191"/>
      <c r="K55" s="190"/>
      <c r="M55" s="44"/>
      <c r="N55" s="43"/>
      <c r="O55" s="195"/>
      <c r="P55" s="195"/>
      <c r="Q55" s="195"/>
      <c r="R55" s="195"/>
      <c r="S55" s="195"/>
      <c r="T55" s="195"/>
      <c r="U55" s="195"/>
      <c r="V55" s="195"/>
      <c r="W55" s="195"/>
      <c r="X55" s="195"/>
      <c r="Y55" s="195"/>
      <c r="AA55" s="61"/>
      <c r="AB55" s="61"/>
    </row>
    <row r="56" spans="1:28" outlineLevel="1" x14ac:dyDescent="0.25">
      <c r="A56" s="8">
        <f t="shared" si="0"/>
        <v>48</v>
      </c>
      <c r="B56" s="41" t="s">
        <v>599</v>
      </c>
      <c r="C56" s="159" t="s">
        <v>592</v>
      </c>
      <c r="D56" s="316" t="s">
        <v>567</v>
      </c>
      <c r="E56" s="317" t="s">
        <v>580</v>
      </c>
      <c r="F56" s="190">
        <f>+IFT!F42</f>
        <v>1</v>
      </c>
      <c r="G56" s="44" t="s">
        <v>746</v>
      </c>
      <c r="H56" s="44"/>
      <c r="I56" s="191"/>
      <c r="K56" s="190"/>
      <c r="M56" s="44"/>
      <c r="N56" s="43"/>
      <c r="O56" s="195"/>
      <c r="P56" s="195"/>
      <c r="Q56" s="195"/>
      <c r="R56" s="195"/>
      <c r="S56" s="195"/>
      <c r="T56" s="195"/>
      <c r="U56" s="195"/>
      <c r="V56" s="195"/>
      <c r="W56" s="195"/>
      <c r="X56" s="195"/>
      <c r="Y56" s="195"/>
      <c r="AA56" s="61"/>
      <c r="AB56" s="61"/>
    </row>
    <row r="57" spans="1:28" ht="31.5" outlineLevel="1" x14ac:dyDescent="0.25">
      <c r="A57" s="8">
        <f t="shared" si="0"/>
        <v>49</v>
      </c>
      <c r="B57" s="41" t="s">
        <v>599</v>
      </c>
      <c r="C57" s="156" t="s">
        <v>592</v>
      </c>
      <c r="D57" s="42" t="s">
        <v>569</v>
      </c>
      <c r="E57" s="43" t="s">
        <v>582</v>
      </c>
      <c r="F57" s="190">
        <v>1</v>
      </c>
      <c r="G57" s="44"/>
      <c r="H57" s="44"/>
      <c r="I57" s="191"/>
      <c r="K57" s="190"/>
      <c r="M57" s="44"/>
      <c r="N57" s="43"/>
      <c r="O57" s="195"/>
      <c r="P57" s="195"/>
      <c r="Q57" s="195"/>
      <c r="R57" s="195"/>
      <c r="S57" s="195"/>
      <c r="T57" s="195"/>
      <c r="U57" s="195"/>
      <c r="V57" s="195"/>
      <c r="W57" s="195"/>
      <c r="X57" s="195"/>
      <c r="Y57" s="195"/>
      <c r="AA57" s="61"/>
      <c r="AB57" s="61"/>
    </row>
    <row r="58" spans="1:28" ht="31.5" outlineLevel="1" x14ac:dyDescent="0.25">
      <c r="A58" s="8">
        <f t="shared" si="0"/>
        <v>50</v>
      </c>
      <c r="B58" s="41" t="s">
        <v>599</v>
      </c>
      <c r="C58" s="159" t="s">
        <v>592</v>
      </c>
      <c r="D58" s="316" t="s">
        <v>571</v>
      </c>
      <c r="E58" s="317" t="s">
        <v>910</v>
      </c>
      <c r="F58" s="190">
        <f>+IFT!F41</f>
        <v>1</v>
      </c>
      <c r="G58" s="44"/>
      <c r="H58" s="44"/>
      <c r="I58" s="191"/>
      <c r="K58" s="190"/>
      <c r="M58" s="44"/>
      <c r="N58" s="43"/>
      <c r="O58" s="195"/>
      <c r="P58" s="195"/>
      <c r="Q58" s="195"/>
      <c r="R58" s="195"/>
      <c r="S58" s="195"/>
      <c r="T58" s="195"/>
      <c r="U58" s="195"/>
      <c r="V58" s="195"/>
      <c r="W58" s="195"/>
      <c r="X58" s="195"/>
      <c r="Y58" s="195"/>
      <c r="AA58" s="61"/>
      <c r="AB58" s="61"/>
    </row>
    <row r="59" spans="1:28" ht="47.25" outlineLevel="1" x14ac:dyDescent="0.25">
      <c r="A59" s="8">
        <f t="shared" si="0"/>
        <v>51</v>
      </c>
      <c r="B59" s="41" t="s">
        <v>599</v>
      </c>
      <c r="C59" s="56" t="s">
        <v>592</v>
      </c>
      <c r="D59" s="42" t="s">
        <v>573</v>
      </c>
      <c r="E59" s="43" t="s">
        <v>583</v>
      </c>
      <c r="F59" s="190">
        <v>0</v>
      </c>
      <c r="G59" s="44"/>
      <c r="H59" s="44" t="s">
        <v>763</v>
      </c>
      <c r="I59" s="191"/>
      <c r="K59" s="190"/>
      <c r="M59" s="44"/>
      <c r="N59" s="43"/>
      <c r="O59" s="195"/>
      <c r="P59" s="195"/>
      <c r="Q59" s="195"/>
      <c r="R59" s="195"/>
      <c r="S59" s="195"/>
      <c r="T59" s="195"/>
      <c r="U59" s="195"/>
      <c r="V59" s="195"/>
      <c r="W59" s="195"/>
      <c r="X59" s="195"/>
      <c r="Y59" s="195"/>
      <c r="AA59" s="61"/>
      <c r="AB59" s="61"/>
    </row>
    <row r="60" spans="1:28" outlineLevel="1" x14ac:dyDescent="0.25">
      <c r="A60" s="8">
        <f t="shared" si="0"/>
        <v>52</v>
      </c>
      <c r="B60" s="41" t="s">
        <v>600</v>
      </c>
      <c r="C60" s="158" t="s">
        <v>593</v>
      </c>
      <c r="D60" s="42" t="s">
        <v>576</v>
      </c>
      <c r="E60" s="43" t="s">
        <v>444</v>
      </c>
      <c r="F60" s="190">
        <v>1</v>
      </c>
      <c r="G60" s="44"/>
      <c r="H60" s="44"/>
      <c r="I60" s="191"/>
      <c r="K60" s="190"/>
      <c r="M60" s="44"/>
      <c r="N60" s="43"/>
      <c r="O60" s="195"/>
      <c r="P60" s="195"/>
      <c r="Q60" s="195"/>
      <c r="R60" s="195"/>
      <c r="S60" s="195"/>
      <c r="T60" s="195"/>
      <c r="U60" s="195"/>
      <c r="V60" s="195"/>
      <c r="W60" s="195"/>
      <c r="X60" s="195"/>
      <c r="Y60" s="195"/>
      <c r="AA60" s="61"/>
      <c r="AB60" s="61"/>
    </row>
    <row r="61" spans="1:28" ht="31.5" outlineLevel="1" x14ac:dyDescent="0.25">
      <c r="A61" s="8">
        <f t="shared" si="0"/>
        <v>53</v>
      </c>
      <c r="B61" s="41" t="s">
        <v>600</v>
      </c>
      <c r="C61" s="159" t="s">
        <v>593</v>
      </c>
      <c r="D61" s="42" t="s">
        <v>577</v>
      </c>
      <c r="E61" s="43" t="s">
        <v>911</v>
      </c>
      <c r="F61" s="190">
        <v>0</v>
      </c>
      <c r="G61" s="44"/>
      <c r="H61" s="44"/>
      <c r="I61" s="191"/>
      <c r="K61" s="190"/>
      <c r="M61" s="44"/>
      <c r="N61" s="43"/>
      <c r="O61" s="195"/>
      <c r="P61" s="195"/>
      <c r="Q61" s="195"/>
      <c r="R61" s="195"/>
      <c r="S61" s="195"/>
      <c r="T61" s="195"/>
      <c r="U61" s="195"/>
      <c r="V61" s="195"/>
      <c r="W61" s="195"/>
      <c r="X61" s="195"/>
      <c r="Y61" s="195"/>
      <c r="AA61" s="61"/>
      <c r="AB61" s="61"/>
    </row>
    <row r="62" spans="1:28" ht="47.25" outlineLevel="1" x14ac:dyDescent="0.25">
      <c r="A62" s="8">
        <f t="shared" si="0"/>
        <v>54</v>
      </c>
      <c r="B62" s="41" t="s">
        <v>600</v>
      </c>
      <c r="C62" s="162" t="s">
        <v>593</v>
      </c>
      <c r="D62" s="42" t="s">
        <v>579</v>
      </c>
      <c r="E62" s="43" t="s">
        <v>584</v>
      </c>
      <c r="F62" s="190">
        <v>1</v>
      </c>
      <c r="G62" s="44"/>
      <c r="H62" s="44" t="s">
        <v>763</v>
      </c>
      <c r="I62" s="191"/>
      <c r="K62" s="190"/>
      <c r="M62" s="44"/>
      <c r="N62" s="43"/>
      <c r="O62" s="195"/>
      <c r="P62" s="195"/>
      <c r="Q62" s="195"/>
      <c r="R62" s="195"/>
      <c r="S62" s="195"/>
      <c r="T62" s="195"/>
      <c r="U62" s="195"/>
      <c r="V62" s="195"/>
      <c r="W62" s="195"/>
      <c r="X62" s="195"/>
      <c r="Y62" s="195"/>
      <c r="AA62" s="61"/>
      <c r="AB62" s="61"/>
    </row>
    <row r="63" spans="1:28" outlineLevel="1" x14ac:dyDescent="0.25">
      <c r="A63" s="8">
        <f t="shared" si="0"/>
        <v>55</v>
      </c>
      <c r="B63" s="41" t="s">
        <v>600</v>
      </c>
      <c r="C63" s="56" t="s">
        <v>593</v>
      </c>
      <c r="D63" s="42" t="s">
        <v>581</v>
      </c>
      <c r="E63" s="43" t="s">
        <v>20</v>
      </c>
      <c r="F63" s="190">
        <v>0</v>
      </c>
      <c r="G63" s="44"/>
      <c r="H63" s="44"/>
      <c r="I63" s="191"/>
      <c r="K63" s="190"/>
      <c r="M63" s="44"/>
      <c r="N63" s="43"/>
      <c r="O63" s="195"/>
      <c r="P63" s="195"/>
      <c r="Q63" s="195"/>
      <c r="R63" s="195"/>
      <c r="S63" s="195"/>
      <c r="T63" s="195"/>
      <c r="U63" s="195"/>
      <c r="V63" s="195"/>
      <c r="W63" s="195"/>
      <c r="X63" s="195"/>
      <c r="Y63" s="195"/>
      <c r="AA63" s="61"/>
      <c r="AB63" s="61"/>
    </row>
    <row r="64" spans="1:28" ht="24" customHeight="1" x14ac:dyDescent="0.25">
      <c r="B64" s="62">
        <v>2</v>
      </c>
      <c r="C64" s="63" t="s">
        <v>5</v>
      </c>
      <c r="D64" s="64"/>
      <c r="E64" s="65"/>
      <c r="F64" s="66">
        <f>IFERROR(SUMIF(F65:F110,1,F65:F110)/SUM(COUNTIF(F65:F110,1),COUNTIF(F65:F110,0)),0)</f>
        <v>0.78378378378378377</v>
      </c>
      <c r="G64" s="66"/>
      <c r="H64" s="66"/>
      <c r="I64" s="189"/>
      <c r="K64" s="66">
        <f>IFERROR(SUMIF(K65:K110,1,K65:K110)/SUM(COUNTIF(K65:K110,1),COUNTIF(K65:K110,0)),0)</f>
        <v>0</v>
      </c>
      <c r="M64" s="66">
        <f>IFERROR(SUMIF(M65:M110,1,M65:M110)/SUM(COUNTIF(M65:M110,1),COUNTIF(M65:M110,0)),0)</f>
        <v>0</v>
      </c>
      <c r="N64" s="66"/>
      <c r="O64" s="198"/>
      <c r="P64" s="198"/>
      <c r="Q64" s="198"/>
      <c r="R64" s="198"/>
      <c r="S64" s="198"/>
      <c r="T64" s="198"/>
      <c r="U64" s="198"/>
      <c r="V64" s="198"/>
      <c r="W64" s="198"/>
      <c r="X64" s="198"/>
      <c r="Y64" s="198"/>
      <c r="AA64" s="60">
        <v>0.15</v>
      </c>
      <c r="AB64" s="60">
        <f>+AA64/$AB$3</f>
        <v>0.3</v>
      </c>
    </row>
    <row r="65" spans="1:28" ht="31.5" outlineLevel="1" x14ac:dyDescent="0.25">
      <c r="A65" s="8">
        <f>+A63+1</f>
        <v>56</v>
      </c>
      <c r="B65" s="41" t="s">
        <v>325</v>
      </c>
      <c r="C65" s="158" t="s">
        <v>22</v>
      </c>
      <c r="D65" s="316" t="s">
        <v>157</v>
      </c>
      <c r="E65" s="317" t="s">
        <v>10</v>
      </c>
      <c r="F65" s="190">
        <f>+IDP!F23</f>
        <v>1</v>
      </c>
      <c r="G65" s="44"/>
      <c r="H65" s="44" t="s">
        <v>762</v>
      </c>
      <c r="I65" s="191"/>
      <c r="K65" s="190"/>
      <c r="M65" s="44"/>
      <c r="N65" s="43"/>
      <c r="O65" s="195"/>
      <c r="P65" s="195"/>
      <c r="Q65" s="195"/>
      <c r="R65" s="195"/>
      <c r="S65" s="195"/>
      <c r="T65" s="195"/>
      <c r="U65" s="195"/>
      <c r="V65" s="195"/>
      <c r="W65" s="195"/>
      <c r="X65" s="195"/>
      <c r="Y65" s="195"/>
      <c r="AA65" s="61"/>
      <c r="AB65" s="61"/>
    </row>
    <row r="66" spans="1:28" ht="31.5" outlineLevel="1" x14ac:dyDescent="0.25">
      <c r="A66" s="8">
        <f>+A65+1</f>
        <v>57</v>
      </c>
      <c r="B66" s="41" t="s">
        <v>325</v>
      </c>
      <c r="C66" s="159" t="s">
        <v>22</v>
      </c>
      <c r="D66" s="42" t="s">
        <v>104</v>
      </c>
      <c r="E66" s="43" t="s">
        <v>601</v>
      </c>
      <c r="F66" s="190" t="s">
        <v>142</v>
      </c>
      <c r="G66" s="44" t="s">
        <v>912</v>
      </c>
      <c r="H66" s="44" t="s">
        <v>762</v>
      </c>
      <c r="I66" s="191"/>
      <c r="K66" s="190"/>
      <c r="M66" s="44"/>
      <c r="N66" s="43"/>
      <c r="O66" s="195"/>
      <c r="P66" s="195"/>
      <c r="Q66" s="195"/>
      <c r="R66" s="195"/>
      <c r="S66" s="195"/>
      <c r="T66" s="195"/>
      <c r="U66" s="195"/>
      <c r="V66" s="195"/>
      <c r="W66" s="195"/>
      <c r="X66" s="195"/>
      <c r="Y66" s="195"/>
      <c r="AA66" s="61"/>
      <c r="AB66" s="61"/>
    </row>
    <row r="67" spans="1:28" ht="31.5" outlineLevel="1" x14ac:dyDescent="0.25">
      <c r="A67" s="8">
        <f t="shared" ref="A67:A110" si="1">+A66+1</f>
        <v>58</v>
      </c>
      <c r="B67" s="41" t="s">
        <v>325</v>
      </c>
      <c r="C67" s="156" t="s">
        <v>22</v>
      </c>
      <c r="D67" s="316" t="s">
        <v>105</v>
      </c>
      <c r="E67" s="317" t="s">
        <v>913</v>
      </c>
      <c r="F67" s="190" t="str">
        <f>+IDP!F25</f>
        <v>N/A</v>
      </c>
      <c r="G67" s="44" t="s">
        <v>912</v>
      </c>
      <c r="H67" s="44" t="s">
        <v>762</v>
      </c>
      <c r="I67" s="191"/>
      <c r="K67" s="190"/>
      <c r="M67" s="44"/>
      <c r="N67" s="43"/>
      <c r="O67" s="195"/>
      <c r="P67" s="195"/>
      <c r="Q67" s="195"/>
      <c r="R67" s="195"/>
      <c r="S67" s="195"/>
      <c r="T67" s="195"/>
      <c r="U67" s="195"/>
      <c r="V67" s="195"/>
      <c r="W67" s="195"/>
      <c r="X67" s="195"/>
      <c r="Y67" s="195"/>
      <c r="AA67" s="61"/>
      <c r="AB67" s="61"/>
    </row>
    <row r="68" spans="1:28" ht="31.5" outlineLevel="1" x14ac:dyDescent="0.25">
      <c r="A68" s="8">
        <f t="shared" si="1"/>
        <v>59</v>
      </c>
      <c r="B68" s="41" t="s">
        <v>325</v>
      </c>
      <c r="C68" s="159" t="s">
        <v>22</v>
      </c>
      <c r="D68" s="316" t="s">
        <v>106</v>
      </c>
      <c r="E68" s="317" t="s">
        <v>602</v>
      </c>
      <c r="F68" s="190">
        <f>+IDP!F26</f>
        <v>0</v>
      </c>
      <c r="G68" s="44"/>
      <c r="H68" s="44" t="s">
        <v>762</v>
      </c>
      <c r="I68" s="191"/>
      <c r="K68" s="190"/>
      <c r="M68" s="44"/>
      <c r="N68" s="43"/>
      <c r="O68" s="195"/>
      <c r="P68" s="195"/>
      <c r="Q68" s="195"/>
      <c r="R68" s="195"/>
      <c r="S68" s="195"/>
      <c r="T68" s="195"/>
      <c r="U68" s="195"/>
      <c r="V68" s="195"/>
      <c r="W68" s="195"/>
      <c r="X68" s="195"/>
      <c r="Y68" s="195"/>
      <c r="AA68" s="61"/>
      <c r="AB68" s="61"/>
    </row>
    <row r="69" spans="1:28" ht="31.5" outlineLevel="1" x14ac:dyDescent="0.25">
      <c r="A69" s="8">
        <f t="shared" si="1"/>
        <v>60</v>
      </c>
      <c r="B69" s="41" t="s">
        <v>325</v>
      </c>
      <c r="C69" s="56" t="s">
        <v>22</v>
      </c>
      <c r="D69" s="316" t="s">
        <v>107</v>
      </c>
      <c r="E69" s="317" t="s">
        <v>459</v>
      </c>
      <c r="F69" s="190">
        <f>+IDP!F27</f>
        <v>0</v>
      </c>
      <c r="G69" s="44"/>
      <c r="H69" s="44" t="s">
        <v>762</v>
      </c>
      <c r="I69" s="191"/>
      <c r="K69" s="190"/>
      <c r="M69" s="44"/>
      <c r="N69" s="43"/>
      <c r="O69" s="195"/>
      <c r="P69" s="195"/>
      <c r="Q69" s="195"/>
      <c r="R69" s="195"/>
      <c r="S69" s="195"/>
      <c r="T69" s="195"/>
      <c r="U69" s="195"/>
      <c r="V69" s="195"/>
      <c r="W69" s="195"/>
      <c r="X69" s="195"/>
      <c r="Y69" s="195"/>
      <c r="AA69" s="61"/>
      <c r="AB69" s="61"/>
    </row>
    <row r="70" spans="1:28" ht="31.5" outlineLevel="1" x14ac:dyDescent="0.25">
      <c r="A70" s="8">
        <f t="shared" si="1"/>
        <v>61</v>
      </c>
      <c r="B70" s="41" t="s">
        <v>326</v>
      </c>
      <c r="C70" s="158" t="s">
        <v>25</v>
      </c>
      <c r="D70" s="316" t="s">
        <v>108</v>
      </c>
      <c r="E70" s="317" t="s">
        <v>6</v>
      </c>
      <c r="F70" s="190">
        <f>+IDP!F9</f>
        <v>1</v>
      </c>
      <c r="G70" s="44"/>
      <c r="H70" s="44" t="s">
        <v>762</v>
      </c>
      <c r="I70" s="191"/>
      <c r="K70" s="190"/>
      <c r="M70" s="44"/>
      <c r="N70" s="43"/>
      <c r="O70" s="195"/>
      <c r="P70" s="195"/>
      <c r="Q70" s="195"/>
      <c r="R70" s="195"/>
      <c r="S70" s="195"/>
      <c r="T70" s="195"/>
      <c r="U70" s="195"/>
      <c r="V70" s="195"/>
      <c r="W70" s="195"/>
      <c r="X70" s="195"/>
      <c r="Y70" s="195"/>
      <c r="AA70" s="61"/>
      <c r="AB70" s="61"/>
    </row>
    <row r="71" spans="1:28" ht="31.5" outlineLevel="1" x14ac:dyDescent="0.25">
      <c r="A71" s="8">
        <f t="shared" si="1"/>
        <v>62</v>
      </c>
      <c r="B71" s="41" t="s">
        <v>326</v>
      </c>
      <c r="C71" s="159" t="s">
        <v>25</v>
      </c>
      <c r="D71" s="316" t="s">
        <v>109</v>
      </c>
      <c r="E71" s="317" t="s">
        <v>7</v>
      </c>
      <c r="F71" s="190">
        <f>+IDP!F10</f>
        <v>1</v>
      </c>
      <c r="G71" s="44"/>
      <c r="H71" s="44" t="s">
        <v>762</v>
      </c>
      <c r="I71" s="191"/>
      <c r="K71" s="190"/>
      <c r="M71" s="44"/>
      <c r="N71" s="43"/>
      <c r="O71" s="195"/>
      <c r="P71" s="195"/>
      <c r="Q71" s="195"/>
      <c r="R71" s="195"/>
      <c r="S71" s="195"/>
      <c r="T71" s="195"/>
      <c r="U71" s="195"/>
      <c r="V71" s="195"/>
      <c r="W71" s="195"/>
      <c r="X71" s="195"/>
      <c r="Y71" s="195"/>
      <c r="AA71" s="61"/>
      <c r="AB71" s="61"/>
    </row>
    <row r="72" spans="1:28" ht="31.5" outlineLevel="1" x14ac:dyDescent="0.25">
      <c r="A72" s="8">
        <f t="shared" si="1"/>
        <v>63</v>
      </c>
      <c r="B72" s="41" t="s">
        <v>326</v>
      </c>
      <c r="C72" s="159" t="s">
        <v>25</v>
      </c>
      <c r="D72" s="316" t="s">
        <v>110</v>
      </c>
      <c r="E72" s="317" t="s">
        <v>954</v>
      </c>
      <c r="F72" s="190" t="str">
        <f>+IDP!F11</f>
        <v>N/A</v>
      </c>
      <c r="G72" s="44"/>
      <c r="H72" s="44" t="s">
        <v>762</v>
      </c>
      <c r="I72" s="191"/>
      <c r="K72" s="190"/>
      <c r="M72" s="44"/>
      <c r="N72" s="43"/>
      <c r="O72" s="195"/>
      <c r="P72" s="195"/>
      <c r="Q72" s="195"/>
      <c r="R72" s="195"/>
      <c r="S72" s="195"/>
      <c r="T72" s="195"/>
      <c r="U72" s="195"/>
      <c r="V72" s="195"/>
      <c r="W72" s="195"/>
      <c r="X72" s="195"/>
      <c r="Y72" s="195"/>
      <c r="AA72" s="61"/>
      <c r="AB72" s="61"/>
    </row>
    <row r="73" spans="1:28" ht="31.5" outlineLevel="1" x14ac:dyDescent="0.25">
      <c r="A73" s="8">
        <f t="shared" si="1"/>
        <v>64</v>
      </c>
      <c r="B73" s="41" t="s">
        <v>326</v>
      </c>
      <c r="C73" s="159" t="s">
        <v>25</v>
      </c>
      <c r="D73" s="316" t="s">
        <v>111</v>
      </c>
      <c r="E73" s="317" t="s">
        <v>955</v>
      </c>
      <c r="F73" s="190" t="str">
        <f>+IDP!F12</f>
        <v>N/A</v>
      </c>
      <c r="G73" s="44"/>
      <c r="H73" s="44" t="s">
        <v>762</v>
      </c>
      <c r="I73" s="191"/>
      <c r="K73" s="190"/>
      <c r="M73" s="44"/>
      <c r="N73" s="43"/>
      <c r="O73" s="195"/>
      <c r="P73" s="195"/>
      <c r="Q73" s="195"/>
      <c r="R73" s="195"/>
      <c r="S73" s="195"/>
      <c r="T73" s="195"/>
      <c r="U73" s="195"/>
      <c r="V73" s="195"/>
      <c r="W73" s="195"/>
      <c r="X73" s="195"/>
      <c r="Y73" s="195"/>
      <c r="AA73" s="61"/>
      <c r="AB73" s="61"/>
    </row>
    <row r="74" spans="1:28" ht="31.5" outlineLevel="1" x14ac:dyDescent="0.25">
      <c r="A74" s="8">
        <f t="shared" si="1"/>
        <v>65</v>
      </c>
      <c r="B74" s="41" t="s">
        <v>326</v>
      </c>
      <c r="C74" s="159" t="s">
        <v>25</v>
      </c>
      <c r="D74" s="316" t="s">
        <v>158</v>
      </c>
      <c r="E74" s="317" t="s">
        <v>460</v>
      </c>
      <c r="F74" s="190">
        <f>+IDP!F15</f>
        <v>1</v>
      </c>
      <c r="G74" s="44"/>
      <c r="H74" s="44" t="s">
        <v>762</v>
      </c>
      <c r="I74" s="191"/>
      <c r="K74" s="190"/>
      <c r="M74" s="44"/>
      <c r="N74" s="43"/>
      <c r="O74" s="195"/>
      <c r="P74" s="195"/>
      <c r="Q74" s="195"/>
      <c r="R74" s="195"/>
      <c r="S74" s="195"/>
      <c r="T74" s="195"/>
      <c r="U74" s="195"/>
      <c r="V74" s="195"/>
      <c r="W74" s="195"/>
      <c r="X74" s="195"/>
      <c r="Y74" s="195"/>
      <c r="AA74" s="61"/>
      <c r="AB74" s="61"/>
    </row>
    <row r="75" spans="1:28" ht="31.5" outlineLevel="1" x14ac:dyDescent="0.25">
      <c r="A75" s="8">
        <f t="shared" si="1"/>
        <v>66</v>
      </c>
      <c r="B75" s="41" t="s">
        <v>326</v>
      </c>
      <c r="C75" s="159" t="s">
        <v>25</v>
      </c>
      <c r="D75" s="316" t="s">
        <v>159</v>
      </c>
      <c r="E75" s="317" t="s">
        <v>461</v>
      </c>
      <c r="F75" s="190">
        <f>+IDP!F16</f>
        <v>1</v>
      </c>
      <c r="G75" s="44"/>
      <c r="H75" s="44" t="s">
        <v>762</v>
      </c>
      <c r="I75" s="191"/>
      <c r="K75" s="190"/>
      <c r="M75" s="44"/>
      <c r="N75" s="43"/>
      <c r="O75" s="195"/>
      <c r="P75" s="195"/>
      <c r="Q75" s="195"/>
      <c r="R75" s="195"/>
      <c r="S75" s="195"/>
      <c r="T75" s="195"/>
      <c r="U75" s="195"/>
      <c r="V75" s="195"/>
      <c r="W75" s="195"/>
      <c r="X75" s="195"/>
      <c r="Y75" s="195"/>
      <c r="AA75" s="61"/>
      <c r="AB75" s="61"/>
    </row>
    <row r="76" spans="1:28" ht="31.5" outlineLevel="1" x14ac:dyDescent="0.25">
      <c r="A76" s="8">
        <f t="shared" si="1"/>
        <v>67</v>
      </c>
      <c r="B76" s="41" t="s">
        <v>326</v>
      </c>
      <c r="C76" s="159" t="s">
        <v>25</v>
      </c>
      <c r="D76" s="316" t="s">
        <v>160</v>
      </c>
      <c r="E76" s="317" t="s">
        <v>1027</v>
      </c>
      <c r="F76" s="190" t="str">
        <f>+IDP!F17</f>
        <v>N/A</v>
      </c>
      <c r="G76" s="44"/>
      <c r="H76" s="44" t="s">
        <v>762</v>
      </c>
      <c r="I76" s="191"/>
      <c r="K76" s="190"/>
      <c r="M76" s="44"/>
      <c r="N76" s="43"/>
      <c r="O76" s="195"/>
      <c r="P76" s="195"/>
      <c r="Q76" s="195"/>
      <c r="R76" s="195"/>
      <c r="S76" s="195"/>
      <c r="T76" s="195"/>
      <c r="U76" s="195"/>
      <c r="V76" s="195"/>
      <c r="W76" s="195"/>
      <c r="X76" s="195"/>
      <c r="Y76" s="195"/>
      <c r="AA76" s="61"/>
      <c r="AB76" s="61"/>
    </row>
    <row r="77" spans="1:28" ht="31.5" outlineLevel="1" x14ac:dyDescent="0.25">
      <c r="A77" s="8">
        <f t="shared" si="1"/>
        <v>68</v>
      </c>
      <c r="B77" s="41" t="s">
        <v>326</v>
      </c>
      <c r="C77" s="159" t="s">
        <v>25</v>
      </c>
      <c r="D77" s="316" t="s">
        <v>161</v>
      </c>
      <c r="E77" s="317" t="s">
        <v>8</v>
      </c>
      <c r="F77" s="190">
        <f>+IDP!F18</f>
        <v>1</v>
      </c>
      <c r="G77" s="44"/>
      <c r="H77" s="44" t="s">
        <v>762</v>
      </c>
      <c r="I77" s="191"/>
      <c r="K77" s="190"/>
      <c r="M77" s="44"/>
      <c r="N77" s="43"/>
      <c r="O77" s="195"/>
      <c r="P77" s="195"/>
      <c r="Q77" s="195"/>
      <c r="R77" s="195"/>
      <c r="S77" s="195"/>
      <c r="T77" s="195"/>
      <c r="U77" s="195"/>
      <c r="V77" s="195"/>
      <c r="W77" s="195"/>
      <c r="X77" s="195"/>
      <c r="Y77" s="195"/>
      <c r="AA77" s="61"/>
      <c r="AB77" s="61"/>
    </row>
    <row r="78" spans="1:28" ht="31.5" outlineLevel="1" x14ac:dyDescent="0.25">
      <c r="A78" s="8">
        <f t="shared" si="1"/>
        <v>69</v>
      </c>
      <c r="B78" s="41" t="s">
        <v>326</v>
      </c>
      <c r="C78" s="159" t="s">
        <v>25</v>
      </c>
      <c r="D78" s="316" t="s">
        <v>162</v>
      </c>
      <c r="E78" s="317" t="s">
        <v>463</v>
      </c>
      <c r="F78" s="190">
        <f>+IDP!F29</f>
        <v>1</v>
      </c>
      <c r="G78" s="44"/>
      <c r="H78" s="44" t="s">
        <v>762</v>
      </c>
      <c r="I78" s="191"/>
      <c r="K78" s="190"/>
      <c r="M78" s="44"/>
      <c r="N78" s="43"/>
      <c r="O78" s="195"/>
      <c r="P78" s="195"/>
      <c r="Q78" s="195"/>
      <c r="R78" s="195"/>
      <c r="S78" s="195"/>
      <c r="T78" s="195"/>
      <c r="U78" s="195"/>
      <c r="V78" s="195"/>
      <c r="W78" s="195"/>
      <c r="X78" s="195"/>
      <c r="Y78" s="195"/>
      <c r="AA78" s="61"/>
      <c r="AB78" s="61"/>
    </row>
    <row r="79" spans="1:28" ht="31.5" outlineLevel="1" x14ac:dyDescent="0.25">
      <c r="A79" s="8">
        <f t="shared" si="1"/>
        <v>70</v>
      </c>
      <c r="B79" s="41" t="s">
        <v>326</v>
      </c>
      <c r="C79" s="159" t="s">
        <v>25</v>
      </c>
      <c r="D79" s="316" t="s">
        <v>163</v>
      </c>
      <c r="E79" s="317" t="s">
        <v>14</v>
      </c>
      <c r="F79" s="190">
        <f>+IDP!F64</f>
        <v>0</v>
      </c>
      <c r="G79" s="44"/>
      <c r="H79" s="44" t="s">
        <v>762</v>
      </c>
      <c r="I79" s="191"/>
      <c r="K79" s="190"/>
      <c r="M79" s="44"/>
      <c r="N79" s="43"/>
      <c r="O79" s="195"/>
      <c r="P79" s="195"/>
      <c r="Q79" s="195"/>
      <c r="R79" s="195"/>
      <c r="S79" s="195"/>
      <c r="T79" s="195"/>
      <c r="U79" s="195"/>
      <c r="V79" s="195"/>
      <c r="W79" s="195"/>
      <c r="X79" s="195"/>
      <c r="Y79" s="195"/>
      <c r="AA79" s="61"/>
      <c r="AB79" s="61"/>
    </row>
    <row r="80" spans="1:28" ht="31.5" outlineLevel="1" x14ac:dyDescent="0.25">
      <c r="A80" s="8">
        <f t="shared" si="1"/>
        <v>71</v>
      </c>
      <c r="B80" s="41" t="s">
        <v>326</v>
      </c>
      <c r="C80" s="160" t="s">
        <v>25</v>
      </c>
      <c r="D80" s="316" t="s">
        <v>164</v>
      </c>
      <c r="E80" s="317" t="s">
        <v>9</v>
      </c>
      <c r="F80" s="190">
        <f>+IDP!F19</f>
        <v>1</v>
      </c>
      <c r="G80" s="44"/>
      <c r="H80" s="44" t="s">
        <v>762</v>
      </c>
      <c r="I80" s="191"/>
      <c r="K80" s="190"/>
      <c r="M80" s="44"/>
      <c r="N80" s="43"/>
      <c r="O80" s="195"/>
      <c r="P80" s="195"/>
      <c r="Q80" s="195"/>
      <c r="R80" s="195"/>
      <c r="S80" s="195"/>
      <c r="T80" s="195"/>
      <c r="U80" s="195"/>
      <c r="V80" s="195"/>
      <c r="W80" s="195"/>
      <c r="X80" s="195"/>
      <c r="Y80" s="195"/>
      <c r="AA80" s="61"/>
      <c r="AB80" s="61"/>
    </row>
    <row r="81" spans="1:28" ht="47.25" outlineLevel="1" x14ac:dyDescent="0.25">
      <c r="A81" s="8">
        <f t="shared" si="1"/>
        <v>72</v>
      </c>
      <c r="B81" s="41" t="s">
        <v>326</v>
      </c>
      <c r="C81" s="159" t="s">
        <v>25</v>
      </c>
      <c r="D81" s="42" t="s">
        <v>165</v>
      </c>
      <c r="E81" s="43" t="s">
        <v>603</v>
      </c>
      <c r="F81" s="190">
        <v>0</v>
      </c>
      <c r="G81" s="44"/>
      <c r="H81" s="44" t="s">
        <v>762</v>
      </c>
      <c r="I81" s="191"/>
      <c r="K81" s="190"/>
      <c r="M81" s="44"/>
      <c r="N81" s="43"/>
      <c r="O81" s="195"/>
      <c r="P81" s="195"/>
      <c r="Q81" s="195"/>
      <c r="R81" s="195"/>
      <c r="S81" s="195"/>
      <c r="T81" s="195"/>
      <c r="U81" s="195"/>
      <c r="V81" s="195"/>
      <c r="W81" s="195"/>
      <c r="X81" s="195"/>
      <c r="Y81" s="195"/>
      <c r="AA81" s="61"/>
      <c r="AB81" s="61"/>
    </row>
    <row r="82" spans="1:28" ht="31.5" outlineLevel="1" x14ac:dyDescent="0.25">
      <c r="A82" s="8">
        <f t="shared" si="1"/>
        <v>73</v>
      </c>
      <c r="B82" s="41" t="s">
        <v>326</v>
      </c>
      <c r="C82" s="159" t="s">
        <v>25</v>
      </c>
      <c r="D82" s="42" t="s">
        <v>802</v>
      </c>
      <c r="E82" s="43" t="s">
        <v>1219</v>
      </c>
      <c r="F82" s="190">
        <v>0</v>
      </c>
      <c r="G82" s="44"/>
      <c r="H82" s="44" t="s">
        <v>762</v>
      </c>
      <c r="I82" s="191"/>
      <c r="K82" s="190"/>
      <c r="M82" s="44"/>
      <c r="N82" s="43"/>
      <c r="O82" s="195"/>
      <c r="P82" s="195"/>
      <c r="Q82" s="195"/>
      <c r="R82" s="195"/>
      <c r="S82" s="195"/>
      <c r="T82" s="195"/>
      <c r="U82" s="195"/>
      <c r="V82" s="195"/>
      <c r="W82" s="195"/>
      <c r="X82" s="195"/>
      <c r="Y82" s="195"/>
      <c r="AA82" s="61"/>
      <c r="AB82" s="61"/>
    </row>
    <row r="83" spans="1:28" ht="31.5" outlineLevel="1" x14ac:dyDescent="0.25">
      <c r="A83" s="8">
        <f t="shared" si="1"/>
        <v>74</v>
      </c>
      <c r="B83" s="41" t="s">
        <v>326</v>
      </c>
      <c r="C83" s="159" t="s">
        <v>25</v>
      </c>
      <c r="D83" s="316" t="s">
        <v>166</v>
      </c>
      <c r="E83" s="317" t="s">
        <v>11</v>
      </c>
      <c r="F83" s="190">
        <f>+IDP!F39</f>
        <v>1</v>
      </c>
      <c r="G83" s="44"/>
      <c r="H83" s="44" t="s">
        <v>762</v>
      </c>
      <c r="I83" s="191"/>
      <c r="K83" s="190"/>
      <c r="M83" s="44"/>
      <c r="N83" s="43"/>
      <c r="O83" s="195"/>
      <c r="P83" s="195"/>
      <c r="Q83" s="195"/>
      <c r="R83" s="195"/>
      <c r="S83" s="195"/>
      <c r="T83" s="195"/>
      <c r="U83" s="195"/>
      <c r="V83" s="195"/>
      <c r="W83" s="195"/>
      <c r="X83" s="195"/>
      <c r="Y83" s="195"/>
      <c r="AA83" s="61"/>
      <c r="AB83" s="61"/>
    </row>
    <row r="84" spans="1:28" ht="31.5" outlineLevel="1" x14ac:dyDescent="0.25">
      <c r="A84" s="8">
        <f t="shared" si="1"/>
        <v>75</v>
      </c>
      <c r="B84" s="41" t="s">
        <v>326</v>
      </c>
      <c r="C84" s="159" t="s">
        <v>25</v>
      </c>
      <c r="D84" s="316" t="s">
        <v>167</v>
      </c>
      <c r="E84" s="317" t="s">
        <v>464</v>
      </c>
      <c r="F84" s="190" t="str">
        <f>+IDP!F40</f>
        <v>N/A</v>
      </c>
      <c r="G84" s="44"/>
      <c r="H84" s="44" t="s">
        <v>762</v>
      </c>
      <c r="I84" s="191"/>
      <c r="K84" s="190"/>
      <c r="M84" s="44"/>
      <c r="N84" s="43"/>
      <c r="O84" s="195"/>
      <c r="P84" s="195"/>
      <c r="Q84" s="195"/>
      <c r="R84" s="195"/>
      <c r="S84" s="195"/>
      <c r="T84" s="195"/>
      <c r="U84" s="195"/>
      <c r="V84" s="195"/>
      <c r="W84" s="195"/>
      <c r="X84" s="195"/>
      <c r="Y84" s="195"/>
      <c r="AA84" s="61"/>
      <c r="AB84" s="61"/>
    </row>
    <row r="85" spans="1:28" ht="31.5" outlineLevel="1" x14ac:dyDescent="0.25">
      <c r="A85" s="8">
        <f t="shared" si="1"/>
        <v>76</v>
      </c>
      <c r="B85" s="41" t="s">
        <v>326</v>
      </c>
      <c r="C85" s="159" t="s">
        <v>25</v>
      </c>
      <c r="D85" s="42" t="s">
        <v>168</v>
      </c>
      <c r="E85" s="43" t="s">
        <v>842</v>
      </c>
      <c r="F85" s="190">
        <v>0</v>
      </c>
      <c r="G85" s="44"/>
      <c r="H85" s="44" t="s">
        <v>762</v>
      </c>
      <c r="I85" s="191"/>
      <c r="K85" s="190"/>
      <c r="M85" s="44"/>
      <c r="N85" s="43"/>
      <c r="O85" s="195"/>
      <c r="P85" s="195"/>
      <c r="Q85" s="195"/>
      <c r="R85" s="195"/>
      <c r="S85" s="195"/>
      <c r="T85" s="195"/>
      <c r="U85" s="195"/>
      <c r="V85" s="195"/>
      <c r="W85" s="195"/>
      <c r="X85" s="195"/>
      <c r="Y85" s="195"/>
      <c r="AA85" s="61"/>
      <c r="AB85" s="61"/>
    </row>
    <row r="86" spans="1:28" ht="31.5" outlineLevel="1" x14ac:dyDescent="0.25">
      <c r="A86" s="8">
        <f t="shared" si="1"/>
        <v>77</v>
      </c>
      <c r="B86" s="41" t="s">
        <v>326</v>
      </c>
      <c r="C86" s="159" t="s">
        <v>25</v>
      </c>
      <c r="D86" s="316" t="s">
        <v>169</v>
      </c>
      <c r="E86" s="317" t="s">
        <v>1221</v>
      </c>
      <c r="F86" s="190">
        <f>+IDP!F43</f>
        <v>1</v>
      </c>
      <c r="G86" s="42" t="s">
        <v>748</v>
      </c>
      <c r="H86" s="44" t="s">
        <v>762</v>
      </c>
      <c r="I86" s="191"/>
      <c r="K86" s="190"/>
      <c r="M86" s="44"/>
      <c r="N86" s="43"/>
      <c r="O86" s="195"/>
      <c r="P86" s="195"/>
      <c r="Q86" s="195"/>
      <c r="R86" s="195"/>
      <c r="S86" s="195"/>
      <c r="T86" s="195"/>
      <c r="U86" s="195"/>
      <c r="V86" s="195"/>
      <c r="W86" s="195"/>
      <c r="X86" s="195"/>
      <c r="Y86" s="195"/>
      <c r="AA86" s="61"/>
      <c r="AB86" s="61"/>
    </row>
    <row r="87" spans="1:28" ht="31.5" outlineLevel="1" x14ac:dyDescent="0.25">
      <c r="A87" s="8">
        <f t="shared" si="1"/>
        <v>78</v>
      </c>
      <c r="B87" s="41" t="s">
        <v>326</v>
      </c>
      <c r="C87" s="159" t="s">
        <v>25</v>
      </c>
      <c r="D87" s="316" t="s">
        <v>170</v>
      </c>
      <c r="E87" s="317" t="s">
        <v>12</v>
      </c>
      <c r="F87" s="190">
        <f>+IDP!F44</f>
        <v>1</v>
      </c>
      <c r="G87" s="42" t="s">
        <v>748</v>
      </c>
      <c r="H87" s="44" t="s">
        <v>762</v>
      </c>
      <c r="I87" s="191"/>
      <c r="K87" s="190"/>
      <c r="M87" s="44"/>
      <c r="N87" s="43"/>
      <c r="O87" s="195"/>
      <c r="P87" s="195"/>
      <c r="Q87" s="195"/>
      <c r="R87" s="195"/>
      <c r="S87" s="195"/>
      <c r="T87" s="195"/>
      <c r="U87" s="195"/>
      <c r="V87" s="195"/>
      <c r="W87" s="195"/>
      <c r="X87" s="195"/>
      <c r="Y87" s="195"/>
      <c r="AA87" s="61"/>
      <c r="AB87" s="61"/>
    </row>
    <row r="88" spans="1:28" ht="47.25" outlineLevel="1" x14ac:dyDescent="0.25">
      <c r="A88" s="8">
        <f t="shared" si="1"/>
        <v>79</v>
      </c>
      <c r="B88" s="41" t="s">
        <v>326</v>
      </c>
      <c r="C88" s="159" t="s">
        <v>25</v>
      </c>
      <c r="D88" s="316" t="s">
        <v>171</v>
      </c>
      <c r="E88" s="317" t="s">
        <v>1223</v>
      </c>
      <c r="F88" s="190">
        <f>+IDP!F45</f>
        <v>1</v>
      </c>
      <c r="G88" s="42" t="s">
        <v>749</v>
      </c>
      <c r="H88" s="44" t="s">
        <v>762</v>
      </c>
      <c r="I88" s="191"/>
      <c r="K88" s="190"/>
      <c r="M88" s="44"/>
      <c r="N88" s="43"/>
      <c r="O88" s="195"/>
      <c r="P88" s="195"/>
      <c r="Q88" s="195"/>
      <c r="R88" s="195"/>
      <c r="S88" s="195"/>
      <c r="T88" s="195"/>
      <c r="U88" s="195"/>
      <c r="V88" s="195"/>
      <c r="W88" s="195"/>
      <c r="X88" s="195"/>
      <c r="Y88" s="195"/>
      <c r="AA88" s="61"/>
      <c r="AB88" s="61"/>
    </row>
    <row r="89" spans="1:28" ht="31.5" outlineLevel="1" x14ac:dyDescent="0.25">
      <c r="A89" s="8">
        <f t="shared" si="1"/>
        <v>80</v>
      </c>
      <c r="B89" s="41" t="s">
        <v>326</v>
      </c>
      <c r="C89" s="159" t="s">
        <v>25</v>
      </c>
      <c r="D89" s="316" t="s">
        <v>172</v>
      </c>
      <c r="E89" s="317" t="s">
        <v>914</v>
      </c>
      <c r="F89" s="190">
        <f>+IDP!F46</f>
        <v>1</v>
      </c>
      <c r="G89" s="42" t="s">
        <v>749</v>
      </c>
      <c r="H89" s="44" t="s">
        <v>762</v>
      </c>
      <c r="I89" s="191"/>
      <c r="K89" s="190"/>
      <c r="M89" s="44"/>
      <c r="N89" s="43"/>
      <c r="O89" s="195"/>
      <c r="P89" s="195"/>
      <c r="Q89" s="195"/>
      <c r="R89" s="195"/>
      <c r="S89" s="195"/>
      <c r="T89" s="195"/>
      <c r="U89" s="195"/>
      <c r="V89" s="195"/>
      <c r="W89" s="195"/>
      <c r="X89" s="195"/>
      <c r="Y89" s="195"/>
      <c r="AA89" s="61"/>
      <c r="AB89" s="61"/>
    </row>
    <row r="90" spans="1:28" ht="47.25" outlineLevel="1" x14ac:dyDescent="0.25">
      <c r="A90" s="8">
        <f t="shared" si="1"/>
        <v>81</v>
      </c>
      <c r="B90" s="41" t="s">
        <v>326</v>
      </c>
      <c r="C90" s="159" t="s">
        <v>25</v>
      </c>
      <c r="D90" s="42" t="s">
        <v>173</v>
      </c>
      <c r="E90" s="43" t="s">
        <v>843</v>
      </c>
      <c r="F90" s="190">
        <v>0</v>
      </c>
      <c r="G90" s="42"/>
      <c r="H90" s="44" t="s">
        <v>762</v>
      </c>
      <c r="I90" s="191"/>
      <c r="K90" s="190"/>
      <c r="M90" s="44"/>
      <c r="N90" s="43"/>
      <c r="O90" s="195"/>
      <c r="P90" s="195"/>
      <c r="Q90" s="195"/>
      <c r="R90" s="195"/>
      <c r="S90" s="195"/>
      <c r="T90" s="195"/>
      <c r="U90" s="195"/>
      <c r="V90" s="195"/>
      <c r="W90" s="195"/>
      <c r="X90" s="195"/>
      <c r="Y90" s="195"/>
      <c r="AA90" s="61"/>
      <c r="AB90" s="61"/>
    </row>
    <row r="91" spans="1:28" ht="47.25" outlineLevel="1" x14ac:dyDescent="0.25">
      <c r="A91" s="8">
        <f t="shared" si="1"/>
        <v>82</v>
      </c>
      <c r="B91" s="41" t="s">
        <v>326</v>
      </c>
      <c r="C91" s="56" t="s">
        <v>25</v>
      </c>
      <c r="D91" s="42" t="s">
        <v>412</v>
      </c>
      <c r="E91" s="43" t="s">
        <v>604</v>
      </c>
      <c r="F91" s="190">
        <v>0</v>
      </c>
      <c r="G91" s="44"/>
      <c r="H91" s="44" t="s">
        <v>763</v>
      </c>
      <c r="I91" s="191"/>
      <c r="K91" s="190"/>
      <c r="M91" s="44"/>
      <c r="N91" s="43"/>
      <c r="O91" s="195"/>
      <c r="P91" s="195"/>
      <c r="Q91" s="195"/>
      <c r="R91" s="195"/>
      <c r="S91" s="195"/>
      <c r="T91" s="195"/>
      <c r="U91" s="195"/>
      <c r="V91" s="195"/>
      <c r="W91" s="195"/>
      <c r="X91" s="195"/>
      <c r="Y91" s="195"/>
      <c r="AA91" s="61"/>
      <c r="AB91" s="61"/>
    </row>
    <row r="92" spans="1:28" ht="31.5" outlineLevel="1" x14ac:dyDescent="0.25">
      <c r="A92" s="8">
        <f t="shared" si="1"/>
        <v>83</v>
      </c>
      <c r="B92" s="41" t="s">
        <v>327</v>
      </c>
      <c r="C92" s="158" t="s">
        <v>23</v>
      </c>
      <c r="D92" s="316" t="s">
        <v>112</v>
      </c>
      <c r="E92" s="317" t="s">
        <v>465</v>
      </c>
      <c r="F92" s="190">
        <f>+IDP!F52</f>
        <v>1</v>
      </c>
      <c r="G92" s="44"/>
      <c r="H92" s="44" t="s">
        <v>762</v>
      </c>
      <c r="I92" s="191"/>
      <c r="K92" s="190"/>
      <c r="M92" s="44"/>
      <c r="N92" s="43"/>
      <c r="O92" s="195"/>
      <c r="P92" s="195"/>
      <c r="Q92" s="195"/>
      <c r="R92" s="195"/>
      <c r="S92" s="195"/>
      <c r="T92" s="195"/>
      <c r="U92" s="195"/>
      <c r="V92" s="195"/>
      <c r="W92" s="195"/>
      <c r="X92" s="195"/>
      <c r="Y92" s="195"/>
      <c r="AA92" s="61"/>
      <c r="AB92" s="61"/>
    </row>
    <row r="93" spans="1:28" ht="31.5" outlineLevel="1" x14ac:dyDescent="0.25">
      <c r="A93" s="8">
        <f t="shared" si="1"/>
        <v>84</v>
      </c>
      <c r="B93" s="41" t="s">
        <v>327</v>
      </c>
      <c r="C93" s="159" t="s">
        <v>23</v>
      </c>
      <c r="D93" s="316" t="s">
        <v>113</v>
      </c>
      <c r="E93" s="317" t="s">
        <v>466</v>
      </c>
      <c r="F93" s="190">
        <f>+IDP!F53</f>
        <v>1</v>
      </c>
      <c r="G93" s="44"/>
      <c r="H93" s="44" t="s">
        <v>762</v>
      </c>
      <c r="I93" s="191"/>
      <c r="K93" s="190"/>
      <c r="M93" s="44"/>
      <c r="N93" s="43"/>
      <c r="O93" s="195"/>
      <c r="P93" s="195"/>
      <c r="Q93" s="195"/>
      <c r="R93" s="195"/>
      <c r="S93" s="195"/>
      <c r="T93" s="195"/>
      <c r="U93" s="195"/>
      <c r="V93" s="195"/>
      <c r="W93" s="195"/>
      <c r="X93" s="195"/>
      <c r="Y93" s="195"/>
      <c r="AA93" s="61"/>
      <c r="AB93" s="61"/>
    </row>
    <row r="94" spans="1:28" outlineLevel="1" x14ac:dyDescent="0.25">
      <c r="A94" s="8">
        <f t="shared" si="1"/>
        <v>85</v>
      </c>
      <c r="B94" s="41" t="s">
        <v>327</v>
      </c>
      <c r="C94" s="159" t="s">
        <v>23</v>
      </c>
      <c r="D94" s="316" t="s">
        <v>114</v>
      </c>
      <c r="E94" s="317" t="s">
        <v>13</v>
      </c>
      <c r="F94" s="190">
        <f>+IDP!F54</f>
        <v>1</v>
      </c>
      <c r="G94" s="44"/>
      <c r="H94" s="44" t="s">
        <v>762</v>
      </c>
      <c r="I94" s="191"/>
      <c r="K94" s="190"/>
      <c r="M94" s="44"/>
      <c r="N94" s="43"/>
      <c r="O94" s="195"/>
      <c r="P94" s="195"/>
      <c r="Q94" s="195"/>
      <c r="R94" s="195"/>
      <c r="S94" s="195"/>
      <c r="T94" s="195"/>
      <c r="U94" s="195"/>
      <c r="V94" s="195"/>
      <c r="W94" s="195"/>
      <c r="X94" s="195"/>
      <c r="Y94" s="195"/>
      <c r="AA94" s="61"/>
      <c r="AB94" s="61"/>
    </row>
    <row r="95" spans="1:28" ht="31.5" outlineLevel="1" x14ac:dyDescent="0.25">
      <c r="A95" s="8">
        <f t="shared" si="1"/>
        <v>86</v>
      </c>
      <c r="B95" s="41" t="s">
        <v>327</v>
      </c>
      <c r="C95" s="159" t="s">
        <v>23</v>
      </c>
      <c r="D95" s="316" t="s">
        <v>115</v>
      </c>
      <c r="E95" s="317" t="s">
        <v>469</v>
      </c>
      <c r="F95" s="190">
        <f>+IDP!F50</f>
        <v>1</v>
      </c>
      <c r="G95" s="44"/>
      <c r="H95" s="44" t="s">
        <v>762</v>
      </c>
      <c r="I95" s="191"/>
      <c r="K95" s="190"/>
      <c r="M95" s="44"/>
      <c r="N95" s="43"/>
      <c r="O95" s="195"/>
      <c r="P95" s="195"/>
      <c r="Q95" s="195"/>
      <c r="R95" s="195"/>
      <c r="S95" s="195"/>
      <c r="T95" s="195"/>
      <c r="U95" s="195"/>
      <c r="V95" s="195"/>
      <c r="W95" s="195"/>
      <c r="X95" s="195"/>
      <c r="Y95" s="195"/>
      <c r="AA95" s="61"/>
      <c r="AB95" s="61"/>
    </row>
    <row r="96" spans="1:28" outlineLevel="1" x14ac:dyDescent="0.25">
      <c r="A96" s="8">
        <f t="shared" si="1"/>
        <v>87</v>
      </c>
      <c r="B96" s="41" t="s">
        <v>327</v>
      </c>
      <c r="C96" s="156" t="s">
        <v>23</v>
      </c>
      <c r="D96" s="316" t="s">
        <v>116</v>
      </c>
      <c r="E96" s="317" t="s">
        <v>470</v>
      </c>
      <c r="F96" s="190">
        <f>+IDP!F51</f>
        <v>1</v>
      </c>
      <c r="G96" s="44"/>
      <c r="H96" s="44" t="s">
        <v>762</v>
      </c>
      <c r="I96" s="191"/>
      <c r="K96" s="190"/>
      <c r="M96" s="44"/>
      <c r="N96" s="43"/>
      <c r="O96" s="195"/>
      <c r="P96" s="195"/>
      <c r="Q96" s="195"/>
      <c r="R96" s="195"/>
      <c r="S96" s="195"/>
      <c r="T96" s="195"/>
      <c r="U96" s="195"/>
      <c r="V96" s="195"/>
      <c r="W96" s="195"/>
      <c r="X96" s="195"/>
      <c r="Y96" s="195"/>
      <c r="AA96" s="61"/>
      <c r="AB96" s="61"/>
    </row>
    <row r="97" spans="1:28" outlineLevel="1" x14ac:dyDescent="0.25">
      <c r="A97" s="8">
        <f t="shared" si="1"/>
        <v>88</v>
      </c>
      <c r="B97" s="41" t="s">
        <v>327</v>
      </c>
      <c r="C97" s="159" t="s">
        <v>23</v>
      </c>
      <c r="D97" s="316" t="s">
        <v>117</v>
      </c>
      <c r="E97" s="317" t="s">
        <v>468</v>
      </c>
      <c r="F97" s="190">
        <f>+IDP!F56</f>
        <v>1</v>
      </c>
      <c r="G97" s="44"/>
      <c r="H97" s="44" t="s">
        <v>762</v>
      </c>
      <c r="I97" s="191"/>
      <c r="K97" s="190"/>
      <c r="M97" s="44"/>
      <c r="N97" s="43"/>
      <c r="O97" s="195"/>
      <c r="P97" s="195"/>
      <c r="Q97" s="195"/>
      <c r="R97" s="195"/>
      <c r="S97" s="195"/>
      <c r="T97" s="195"/>
      <c r="U97" s="195"/>
      <c r="V97" s="195"/>
      <c r="W97" s="195"/>
      <c r="X97" s="195"/>
      <c r="Y97" s="195"/>
      <c r="AA97" s="61"/>
      <c r="AB97" s="61"/>
    </row>
    <row r="98" spans="1:28" ht="31.5" outlineLevel="1" x14ac:dyDescent="0.25">
      <c r="A98" s="8">
        <f t="shared" si="1"/>
        <v>89</v>
      </c>
      <c r="B98" s="41" t="s">
        <v>327</v>
      </c>
      <c r="C98" s="159" t="s">
        <v>23</v>
      </c>
      <c r="D98" s="316" t="s">
        <v>174</v>
      </c>
      <c r="E98" s="317" t="s">
        <v>789</v>
      </c>
      <c r="F98" s="190">
        <f>+IDP!F20</f>
        <v>1</v>
      </c>
      <c r="G98" s="44"/>
      <c r="H98" s="44" t="s">
        <v>762</v>
      </c>
      <c r="I98" s="191"/>
      <c r="K98" s="190"/>
      <c r="M98" s="44"/>
      <c r="N98" s="43"/>
      <c r="O98" s="195"/>
      <c r="P98" s="195"/>
      <c r="Q98" s="195"/>
      <c r="R98" s="195"/>
      <c r="S98" s="195"/>
      <c r="T98" s="195"/>
      <c r="U98" s="195"/>
      <c r="V98" s="195"/>
      <c r="W98" s="195"/>
      <c r="X98" s="195"/>
      <c r="Y98" s="195"/>
      <c r="AA98" s="61"/>
      <c r="AB98" s="61"/>
    </row>
    <row r="99" spans="1:28" ht="31.5" outlineLevel="1" x14ac:dyDescent="0.25">
      <c r="A99" s="8">
        <f t="shared" si="1"/>
        <v>90</v>
      </c>
      <c r="B99" s="41" t="s">
        <v>327</v>
      </c>
      <c r="C99" s="159" t="s">
        <v>23</v>
      </c>
      <c r="D99" s="316" t="s">
        <v>175</v>
      </c>
      <c r="E99" s="317" t="s">
        <v>462</v>
      </c>
      <c r="F99" s="190">
        <f>+IDP!F28</f>
        <v>1</v>
      </c>
      <c r="G99" s="44"/>
      <c r="H99" s="44" t="s">
        <v>762</v>
      </c>
      <c r="I99" s="191"/>
      <c r="K99" s="190"/>
      <c r="M99" s="44"/>
      <c r="N99" s="43"/>
      <c r="O99" s="195"/>
      <c r="P99" s="195"/>
      <c r="Q99" s="195"/>
      <c r="R99" s="195"/>
      <c r="S99" s="195"/>
      <c r="T99" s="195"/>
      <c r="U99" s="195"/>
      <c r="V99" s="195"/>
      <c r="W99" s="195"/>
      <c r="X99" s="195"/>
      <c r="Y99" s="195"/>
      <c r="AA99" s="61"/>
      <c r="AB99" s="61"/>
    </row>
    <row r="100" spans="1:28" outlineLevel="1" x14ac:dyDescent="0.25">
      <c r="A100" s="8">
        <f t="shared" si="1"/>
        <v>91</v>
      </c>
      <c r="B100" s="41" t="s">
        <v>327</v>
      </c>
      <c r="C100" s="159" t="s">
        <v>23</v>
      </c>
      <c r="D100" s="316" t="s">
        <v>803</v>
      </c>
      <c r="E100" s="317" t="s">
        <v>1648</v>
      </c>
      <c r="F100" s="190">
        <f>+IDP!F66</f>
        <v>1</v>
      </c>
      <c r="G100" s="44"/>
      <c r="H100" s="44" t="s">
        <v>762</v>
      </c>
      <c r="I100" s="191"/>
      <c r="K100" s="190"/>
      <c r="M100" s="44"/>
      <c r="N100" s="43"/>
      <c r="O100" s="195"/>
      <c r="P100" s="195"/>
      <c r="Q100" s="195"/>
      <c r="R100" s="195"/>
      <c r="S100" s="195"/>
      <c r="T100" s="195"/>
      <c r="U100" s="195"/>
      <c r="V100" s="195"/>
      <c r="W100" s="195"/>
      <c r="X100" s="195"/>
      <c r="Y100" s="195"/>
      <c r="AA100" s="61"/>
      <c r="AB100" s="61"/>
    </row>
    <row r="101" spans="1:28" ht="31.5" outlineLevel="1" x14ac:dyDescent="0.25">
      <c r="A101" s="8">
        <f t="shared" si="1"/>
        <v>92</v>
      </c>
      <c r="B101" s="41" t="s">
        <v>327</v>
      </c>
      <c r="C101" s="56" t="s">
        <v>23</v>
      </c>
      <c r="D101" s="316" t="s">
        <v>804</v>
      </c>
      <c r="E101" s="317" t="s">
        <v>467</v>
      </c>
      <c r="F101" s="190">
        <f>+IDP!F55</f>
        <v>1</v>
      </c>
      <c r="G101" s="44"/>
      <c r="H101" s="44" t="s">
        <v>762</v>
      </c>
      <c r="I101" s="191"/>
      <c r="K101" s="190"/>
      <c r="M101" s="44"/>
      <c r="N101" s="43"/>
      <c r="O101" s="195"/>
      <c r="P101" s="195"/>
      <c r="Q101" s="195"/>
      <c r="R101" s="195"/>
      <c r="S101" s="195"/>
      <c r="T101" s="195"/>
      <c r="U101" s="195"/>
      <c r="V101" s="195"/>
      <c r="W101" s="195"/>
      <c r="X101" s="195"/>
      <c r="Y101" s="195"/>
      <c r="AA101" s="61"/>
      <c r="AB101" s="61"/>
    </row>
    <row r="102" spans="1:28" ht="47.25" outlineLevel="1" x14ac:dyDescent="0.25">
      <c r="A102" s="8">
        <f t="shared" si="1"/>
        <v>93</v>
      </c>
      <c r="B102" s="41" t="s">
        <v>328</v>
      </c>
      <c r="C102" s="158" t="s">
        <v>24</v>
      </c>
      <c r="D102" s="316" t="s">
        <v>805</v>
      </c>
      <c r="E102" s="317" t="s">
        <v>953</v>
      </c>
      <c r="F102" s="190">
        <f>+IDP!F59</f>
        <v>1</v>
      </c>
      <c r="G102" s="42" t="s">
        <v>747</v>
      </c>
      <c r="H102" s="44" t="s">
        <v>762</v>
      </c>
      <c r="I102" s="191"/>
      <c r="K102" s="190"/>
      <c r="M102" s="44"/>
      <c r="N102" s="43"/>
      <c r="O102" s="195"/>
      <c r="P102" s="195"/>
      <c r="Q102" s="195"/>
      <c r="R102" s="195"/>
      <c r="S102" s="195"/>
      <c r="T102" s="195"/>
      <c r="U102" s="195"/>
      <c r="V102" s="195"/>
      <c r="W102" s="195"/>
      <c r="X102" s="195"/>
      <c r="Y102" s="195"/>
      <c r="AA102" s="61"/>
      <c r="AB102" s="61"/>
    </row>
    <row r="103" spans="1:28" ht="47.25" outlineLevel="1" x14ac:dyDescent="0.25">
      <c r="A103" s="8">
        <f t="shared" si="1"/>
        <v>94</v>
      </c>
      <c r="B103" s="41" t="s">
        <v>328</v>
      </c>
      <c r="C103" s="159" t="s">
        <v>24</v>
      </c>
      <c r="D103" s="316" t="s">
        <v>806</v>
      </c>
      <c r="E103" s="317" t="s">
        <v>472</v>
      </c>
      <c r="F103" s="190">
        <f>+IDP!F60</f>
        <v>1</v>
      </c>
      <c r="G103" s="42" t="s">
        <v>747</v>
      </c>
      <c r="H103" s="44" t="s">
        <v>762</v>
      </c>
      <c r="I103" s="191"/>
      <c r="K103" s="190"/>
      <c r="M103" s="44"/>
      <c r="N103" s="43"/>
      <c r="O103" s="195"/>
      <c r="P103" s="195"/>
      <c r="Q103" s="195"/>
      <c r="R103" s="195"/>
      <c r="S103" s="195"/>
      <c r="T103" s="195"/>
      <c r="U103" s="195"/>
      <c r="V103" s="195"/>
      <c r="W103" s="195"/>
      <c r="X103" s="195"/>
      <c r="Y103" s="195"/>
      <c r="AA103" s="61"/>
      <c r="AB103" s="61"/>
    </row>
    <row r="104" spans="1:28" ht="47.25" outlineLevel="1" x14ac:dyDescent="0.25">
      <c r="A104" s="8">
        <f t="shared" si="1"/>
        <v>95</v>
      </c>
      <c r="B104" s="41" t="s">
        <v>328</v>
      </c>
      <c r="C104" s="159" t="s">
        <v>24</v>
      </c>
      <c r="D104" s="316" t="s">
        <v>807</v>
      </c>
      <c r="E104" s="317" t="s">
        <v>1228</v>
      </c>
      <c r="F104" s="190">
        <f>+IDP!F61</f>
        <v>1</v>
      </c>
      <c r="G104" s="42" t="s">
        <v>747</v>
      </c>
      <c r="H104" s="44" t="s">
        <v>762</v>
      </c>
      <c r="I104" s="191"/>
      <c r="K104" s="190"/>
      <c r="M104" s="44"/>
      <c r="N104" s="43"/>
      <c r="O104" s="195"/>
      <c r="P104" s="195"/>
      <c r="Q104" s="195"/>
      <c r="R104" s="195"/>
      <c r="S104" s="195"/>
      <c r="T104" s="195"/>
      <c r="U104" s="195"/>
      <c r="V104" s="195"/>
      <c r="W104" s="195"/>
      <c r="X104" s="195"/>
      <c r="Y104" s="195"/>
      <c r="AA104" s="61"/>
      <c r="AB104" s="61"/>
    </row>
    <row r="105" spans="1:28" ht="31.5" outlineLevel="1" x14ac:dyDescent="0.25">
      <c r="A105" s="8">
        <f t="shared" si="1"/>
        <v>96</v>
      </c>
      <c r="B105" s="41" t="s">
        <v>328</v>
      </c>
      <c r="C105" s="162" t="s">
        <v>24</v>
      </c>
      <c r="D105" s="316" t="s">
        <v>808</v>
      </c>
      <c r="E105" s="317" t="s">
        <v>845</v>
      </c>
      <c r="F105" s="190">
        <f>+IDP!F62</f>
        <v>1</v>
      </c>
      <c r="G105" s="42" t="s">
        <v>747</v>
      </c>
      <c r="H105" s="44" t="s">
        <v>762</v>
      </c>
      <c r="I105" s="191"/>
      <c r="K105" s="190"/>
      <c r="M105" s="44"/>
      <c r="N105" s="43"/>
      <c r="O105" s="195"/>
      <c r="P105" s="195"/>
      <c r="Q105" s="195"/>
      <c r="R105" s="195"/>
      <c r="S105" s="195"/>
      <c r="T105" s="195"/>
      <c r="U105" s="195"/>
      <c r="V105" s="195"/>
      <c r="W105" s="195"/>
      <c r="X105" s="195"/>
      <c r="Y105" s="195"/>
      <c r="AA105" s="61"/>
      <c r="AB105" s="61"/>
    </row>
    <row r="106" spans="1:28" ht="47.25" outlineLevel="1" x14ac:dyDescent="0.25">
      <c r="A106" s="8">
        <f t="shared" si="1"/>
        <v>97</v>
      </c>
      <c r="B106" s="41" t="s">
        <v>328</v>
      </c>
      <c r="C106" s="159" t="s">
        <v>24</v>
      </c>
      <c r="D106" s="316" t="s">
        <v>809</v>
      </c>
      <c r="E106" s="317" t="s">
        <v>846</v>
      </c>
      <c r="F106" s="190">
        <f>+IDP!F63</f>
        <v>1</v>
      </c>
      <c r="G106" s="42" t="s">
        <v>747</v>
      </c>
      <c r="H106" s="44" t="s">
        <v>762</v>
      </c>
      <c r="I106" s="191"/>
      <c r="K106" s="190"/>
      <c r="M106" s="44"/>
      <c r="N106" s="43"/>
      <c r="O106" s="195"/>
      <c r="P106" s="195"/>
      <c r="Q106" s="195"/>
      <c r="R106" s="195"/>
      <c r="S106" s="195"/>
      <c r="T106" s="195"/>
      <c r="U106" s="195"/>
      <c r="V106" s="195"/>
      <c r="W106" s="195"/>
      <c r="X106" s="195"/>
      <c r="Y106" s="195"/>
      <c r="AA106" s="61"/>
      <c r="AB106" s="61"/>
    </row>
    <row r="107" spans="1:28" ht="47.25" outlineLevel="1" x14ac:dyDescent="0.25">
      <c r="A107" s="8">
        <f t="shared" si="1"/>
        <v>98</v>
      </c>
      <c r="B107" s="41" t="s">
        <v>328</v>
      </c>
      <c r="C107" s="56" t="s">
        <v>24</v>
      </c>
      <c r="D107" s="316" t="s">
        <v>810</v>
      </c>
      <c r="E107" s="317" t="s">
        <v>471</v>
      </c>
      <c r="F107" s="190">
        <f>+IDP!F65</f>
        <v>1</v>
      </c>
      <c r="G107" s="44"/>
      <c r="H107" s="44" t="s">
        <v>762</v>
      </c>
      <c r="I107" s="191"/>
      <c r="K107" s="190"/>
      <c r="M107" s="44"/>
      <c r="N107" s="43"/>
      <c r="O107" s="195"/>
      <c r="P107" s="195"/>
      <c r="Q107" s="195"/>
      <c r="R107" s="195"/>
      <c r="S107" s="195"/>
      <c r="T107" s="195"/>
      <c r="U107" s="195"/>
      <c r="V107" s="195"/>
      <c r="W107" s="195"/>
      <c r="X107" s="195"/>
      <c r="Y107" s="195"/>
      <c r="AA107" s="61"/>
      <c r="AB107" s="61"/>
    </row>
    <row r="108" spans="1:28" ht="47.25" outlineLevel="1" x14ac:dyDescent="0.25">
      <c r="A108" s="8">
        <f t="shared" si="1"/>
        <v>99</v>
      </c>
      <c r="B108" s="41" t="s">
        <v>916</v>
      </c>
      <c r="C108" s="158" t="s">
        <v>917</v>
      </c>
      <c r="D108" s="42" t="s">
        <v>918</v>
      </c>
      <c r="E108" s="315" t="s">
        <v>1058</v>
      </c>
      <c r="F108" s="190" t="s">
        <v>142</v>
      </c>
      <c r="G108" s="44"/>
      <c r="H108" s="44"/>
      <c r="I108" s="191"/>
      <c r="K108" s="190" t="s">
        <v>142</v>
      </c>
      <c r="M108" s="44"/>
      <c r="N108" s="43"/>
      <c r="O108" s="195"/>
      <c r="P108" s="195"/>
      <c r="Q108" s="195"/>
      <c r="R108" s="195"/>
      <c r="S108" s="195"/>
      <c r="T108" s="195"/>
      <c r="U108" s="195"/>
      <c r="V108" s="195"/>
      <c r="W108" s="195"/>
      <c r="X108" s="195"/>
      <c r="Y108" s="195"/>
      <c r="AA108" s="61"/>
      <c r="AB108" s="61"/>
    </row>
    <row r="109" spans="1:28" ht="31.5" outlineLevel="1" x14ac:dyDescent="0.25">
      <c r="A109" s="8">
        <f t="shared" si="1"/>
        <v>100</v>
      </c>
      <c r="B109" s="41" t="s">
        <v>916</v>
      </c>
      <c r="C109" s="160" t="s">
        <v>917</v>
      </c>
      <c r="D109" s="42" t="s">
        <v>919</v>
      </c>
      <c r="E109" s="315" t="s">
        <v>1224</v>
      </c>
      <c r="F109" s="190" t="s">
        <v>142</v>
      </c>
      <c r="G109" s="44"/>
      <c r="H109" s="44"/>
      <c r="I109" s="191"/>
      <c r="K109" s="190" t="s">
        <v>142</v>
      </c>
      <c r="M109" s="44"/>
      <c r="N109" s="43"/>
      <c r="O109" s="195"/>
      <c r="P109" s="195"/>
      <c r="Q109" s="195"/>
      <c r="R109" s="195"/>
      <c r="S109" s="195"/>
      <c r="T109" s="195"/>
      <c r="U109" s="195"/>
      <c r="V109" s="195"/>
      <c r="W109" s="195"/>
      <c r="X109" s="195"/>
      <c r="Y109" s="195"/>
      <c r="AA109" s="61"/>
      <c r="AB109" s="61"/>
    </row>
    <row r="110" spans="1:28" ht="31.5" outlineLevel="1" x14ac:dyDescent="0.25">
      <c r="A110" s="8">
        <f t="shared" si="1"/>
        <v>101</v>
      </c>
      <c r="B110" s="41" t="s">
        <v>916</v>
      </c>
      <c r="C110" s="56" t="s">
        <v>917</v>
      </c>
      <c r="D110" s="42" t="s">
        <v>920</v>
      </c>
      <c r="E110" s="315" t="s">
        <v>1225</v>
      </c>
      <c r="F110" s="190" t="s">
        <v>142</v>
      </c>
      <c r="G110" s="44"/>
      <c r="H110" s="44"/>
      <c r="I110" s="191"/>
      <c r="K110" s="190" t="s">
        <v>142</v>
      </c>
      <c r="M110" s="44"/>
      <c r="N110" s="43"/>
      <c r="O110" s="195"/>
      <c r="P110" s="195"/>
      <c r="Q110" s="195"/>
      <c r="R110" s="195"/>
      <c r="S110" s="195"/>
      <c r="T110" s="195"/>
      <c r="U110" s="195"/>
      <c r="V110" s="195"/>
      <c r="W110" s="195"/>
      <c r="X110" s="195"/>
      <c r="Y110" s="195"/>
      <c r="AA110" s="61"/>
      <c r="AB110" s="61"/>
    </row>
    <row r="111" spans="1:28" ht="24" customHeight="1" x14ac:dyDescent="0.25">
      <c r="B111" s="62">
        <v>3</v>
      </c>
      <c r="C111" s="63" t="s">
        <v>26</v>
      </c>
      <c r="D111" s="64"/>
      <c r="E111" s="65"/>
      <c r="F111" s="66">
        <f>IFERROR(SUMIF(F112:F185,1,F112:F185)/SUM(COUNTIF(F112:F185,1),COUNTIF(F112:F185,0)),)</f>
        <v>0.66666666666666663</v>
      </c>
      <c r="G111" s="66"/>
      <c r="H111" s="66"/>
      <c r="I111" s="189"/>
      <c r="K111" s="66">
        <f>IFERROR(SUMIF(K112:K185,1,K112:K185)/SUM(COUNTIF(K112:K185,1),COUNTIF(K112:K185,0)),)</f>
        <v>0</v>
      </c>
      <c r="M111" s="66">
        <f>IFERROR(SUMIF(M112:M185,1,M112:M185)/SUM(COUNTIF(M112:M185,1),COUNTIF(M112:M185,0)),)</f>
        <v>0</v>
      </c>
      <c r="N111" s="66"/>
      <c r="O111" s="198"/>
      <c r="P111" s="198"/>
      <c r="Q111" s="198"/>
      <c r="R111" s="198"/>
      <c r="S111" s="198"/>
      <c r="T111" s="198"/>
      <c r="U111" s="198"/>
      <c r="V111" s="198"/>
      <c r="W111" s="198"/>
      <c r="X111" s="198"/>
      <c r="Y111" s="198"/>
      <c r="AA111" s="60">
        <v>0.15</v>
      </c>
      <c r="AB111" s="60">
        <f>+AA111/$AB$3</f>
        <v>0.3</v>
      </c>
    </row>
    <row r="112" spans="1:28" outlineLevel="1" x14ac:dyDescent="0.25">
      <c r="A112" s="8">
        <f>+A110+1</f>
        <v>102</v>
      </c>
      <c r="B112" s="41" t="s">
        <v>334</v>
      </c>
      <c r="C112" s="42" t="s">
        <v>36</v>
      </c>
      <c r="D112" s="316" t="s">
        <v>193</v>
      </c>
      <c r="E112" s="317" t="s">
        <v>921</v>
      </c>
      <c r="F112" s="190">
        <f>+IFT!F13</f>
        <v>1</v>
      </c>
      <c r="G112" s="42" t="s">
        <v>759</v>
      </c>
      <c r="H112" s="42"/>
      <c r="I112" s="191"/>
      <c r="K112" s="190"/>
      <c r="M112" s="44"/>
      <c r="N112" s="43"/>
      <c r="O112" s="195"/>
      <c r="P112" s="195"/>
      <c r="Q112" s="195"/>
      <c r="R112" s="195"/>
      <c r="S112" s="195"/>
      <c r="T112" s="195"/>
      <c r="U112" s="195"/>
      <c r="V112" s="195"/>
      <c r="W112" s="195"/>
      <c r="X112" s="195"/>
      <c r="Y112" s="195"/>
      <c r="AA112" s="61"/>
      <c r="AB112" s="61"/>
    </row>
    <row r="113" spans="1:28" outlineLevel="1" x14ac:dyDescent="0.25">
      <c r="A113" s="8">
        <f>A112+1</f>
        <v>103</v>
      </c>
      <c r="B113" s="41" t="s">
        <v>335</v>
      </c>
      <c r="C113" s="158" t="s">
        <v>508</v>
      </c>
      <c r="D113" s="316" t="s">
        <v>194</v>
      </c>
      <c r="E113" s="317" t="s">
        <v>605</v>
      </c>
      <c r="F113" s="190">
        <f>+IFT!F9</f>
        <v>1</v>
      </c>
      <c r="G113" s="44"/>
      <c r="H113" s="44"/>
      <c r="I113" s="191"/>
      <c r="K113" s="190"/>
      <c r="M113" s="44"/>
      <c r="N113" s="43"/>
      <c r="O113" s="195"/>
      <c r="P113" s="195"/>
      <c r="Q113" s="195"/>
      <c r="R113" s="195"/>
      <c r="S113" s="195"/>
      <c r="T113" s="195"/>
      <c r="U113" s="195"/>
      <c r="V113" s="195"/>
      <c r="W113" s="195"/>
      <c r="X113" s="195"/>
      <c r="Y113" s="195"/>
      <c r="AA113" s="61"/>
      <c r="AB113" s="61"/>
    </row>
    <row r="114" spans="1:28" outlineLevel="1" x14ac:dyDescent="0.25">
      <c r="A114" s="8">
        <f t="shared" ref="A114:A174" si="2">A113+1</f>
        <v>104</v>
      </c>
      <c r="B114" s="41" t="s">
        <v>335</v>
      </c>
      <c r="C114" s="156" t="s">
        <v>508</v>
      </c>
      <c r="D114" s="316" t="s">
        <v>195</v>
      </c>
      <c r="E114" s="317" t="s">
        <v>606</v>
      </c>
      <c r="F114" s="190">
        <f>+IFT!F10</f>
        <v>1</v>
      </c>
      <c r="G114" s="44"/>
      <c r="H114" s="44"/>
      <c r="I114" s="191"/>
      <c r="K114" s="190"/>
      <c r="M114" s="44"/>
      <c r="N114" s="43"/>
      <c r="O114" s="195"/>
      <c r="P114" s="195"/>
      <c r="Q114" s="195"/>
      <c r="R114" s="195"/>
      <c r="S114" s="195"/>
      <c r="T114" s="195"/>
      <c r="U114" s="195"/>
      <c r="V114" s="195"/>
      <c r="W114" s="195"/>
      <c r="X114" s="195"/>
      <c r="Y114" s="195"/>
      <c r="AA114" s="61"/>
      <c r="AB114" s="61"/>
    </row>
    <row r="115" spans="1:28" outlineLevel="1" x14ac:dyDescent="0.25">
      <c r="A115" s="8">
        <f t="shared" si="2"/>
        <v>105</v>
      </c>
      <c r="B115" s="41" t="s">
        <v>335</v>
      </c>
      <c r="C115" s="159" t="s">
        <v>508</v>
      </c>
      <c r="D115" s="316" t="s">
        <v>196</v>
      </c>
      <c r="E115" s="317" t="s">
        <v>607</v>
      </c>
      <c r="F115" s="190">
        <f>+IFT!F11</f>
        <v>1</v>
      </c>
      <c r="G115" s="44"/>
      <c r="H115" s="44"/>
      <c r="I115" s="191"/>
      <c r="K115" s="190"/>
      <c r="M115" s="44"/>
      <c r="N115" s="43"/>
      <c r="O115" s="195"/>
      <c r="P115" s="195"/>
      <c r="Q115" s="195"/>
      <c r="R115" s="195"/>
      <c r="S115" s="195"/>
      <c r="T115" s="195"/>
      <c r="U115" s="195"/>
      <c r="V115" s="195"/>
      <c r="W115" s="195"/>
      <c r="X115" s="195"/>
      <c r="Y115" s="195"/>
      <c r="AA115" s="61"/>
      <c r="AB115" s="61"/>
    </row>
    <row r="116" spans="1:28" outlineLevel="1" x14ac:dyDescent="0.25">
      <c r="A116" s="8">
        <f t="shared" si="2"/>
        <v>106</v>
      </c>
      <c r="B116" s="41" t="s">
        <v>335</v>
      </c>
      <c r="C116" s="56" t="s">
        <v>508</v>
      </c>
      <c r="D116" s="316" t="s">
        <v>197</v>
      </c>
      <c r="E116" s="317" t="s">
        <v>51</v>
      </c>
      <c r="F116" s="190">
        <f>+IFT!F12</f>
        <v>1</v>
      </c>
      <c r="G116" s="44"/>
      <c r="H116" s="44"/>
      <c r="I116" s="191"/>
      <c r="K116" s="190"/>
      <c r="M116" s="44"/>
      <c r="N116" s="43"/>
      <c r="O116" s="195"/>
      <c r="P116" s="195"/>
      <c r="Q116" s="195"/>
      <c r="R116" s="195"/>
      <c r="S116" s="195"/>
      <c r="T116" s="195"/>
      <c r="U116" s="195"/>
      <c r="V116" s="195"/>
      <c r="W116" s="195"/>
      <c r="X116" s="195"/>
      <c r="Y116" s="195"/>
      <c r="AA116" s="61"/>
      <c r="AB116" s="61"/>
    </row>
    <row r="117" spans="1:28" ht="31.5" outlineLevel="1" x14ac:dyDescent="0.25">
      <c r="A117" s="8">
        <f t="shared" si="2"/>
        <v>107</v>
      </c>
      <c r="B117" s="41" t="s">
        <v>336</v>
      </c>
      <c r="C117" s="158" t="s">
        <v>636</v>
      </c>
      <c r="D117" s="316" t="s">
        <v>198</v>
      </c>
      <c r="E117" s="317" t="s">
        <v>922</v>
      </c>
      <c r="F117" s="190">
        <f>+IFT!F14</f>
        <v>1</v>
      </c>
      <c r="G117" s="44"/>
      <c r="H117" s="44"/>
      <c r="I117" s="191"/>
      <c r="K117" s="190"/>
      <c r="M117" s="44"/>
      <c r="N117" s="43"/>
      <c r="O117" s="195"/>
      <c r="P117" s="195"/>
      <c r="Q117" s="195"/>
      <c r="R117" s="195"/>
      <c r="S117" s="195"/>
      <c r="T117" s="195"/>
      <c r="U117" s="195"/>
      <c r="V117" s="195"/>
      <c r="W117" s="195"/>
      <c r="X117" s="195"/>
      <c r="Y117" s="195"/>
      <c r="AA117" s="61"/>
      <c r="AB117" s="61"/>
    </row>
    <row r="118" spans="1:28" ht="31.5" outlineLevel="1" x14ac:dyDescent="0.25">
      <c r="A118" s="8">
        <f t="shared" si="2"/>
        <v>108</v>
      </c>
      <c r="B118" s="41" t="s">
        <v>336</v>
      </c>
      <c r="C118" s="159" t="s">
        <v>636</v>
      </c>
      <c r="D118" s="316" t="s">
        <v>199</v>
      </c>
      <c r="E118" s="317" t="s">
        <v>923</v>
      </c>
      <c r="F118" s="190">
        <f>+IFT!F15</f>
        <v>0</v>
      </c>
      <c r="G118" s="44"/>
      <c r="H118" s="44"/>
      <c r="I118" s="191"/>
      <c r="K118" s="190"/>
      <c r="M118" s="44"/>
      <c r="N118" s="43"/>
      <c r="O118" s="195"/>
      <c r="P118" s="195"/>
      <c r="Q118" s="195"/>
      <c r="R118" s="195"/>
      <c r="S118" s="195"/>
      <c r="T118" s="195"/>
      <c r="U118" s="195"/>
      <c r="V118" s="195"/>
      <c r="W118" s="195"/>
      <c r="X118" s="195"/>
      <c r="Y118" s="195"/>
      <c r="AA118" s="61"/>
      <c r="AB118" s="61"/>
    </row>
    <row r="119" spans="1:28" ht="31.5" outlineLevel="1" x14ac:dyDescent="0.25">
      <c r="A119" s="8">
        <f t="shared" si="2"/>
        <v>109</v>
      </c>
      <c r="B119" s="41" t="s">
        <v>336</v>
      </c>
      <c r="C119" s="156" t="s">
        <v>636</v>
      </c>
      <c r="D119" s="316" t="s">
        <v>200</v>
      </c>
      <c r="E119" s="317" t="s">
        <v>52</v>
      </c>
      <c r="F119" s="190">
        <f>+IFT!F16</f>
        <v>1</v>
      </c>
      <c r="G119" s="44"/>
      <c r="H119" s="44"/>
      <c r="I119" s="191"/>
      <c r="K119" s="190"/>
      <c r="M119" s="44"/>
      <c r="N119" s="43"/>
      <c r="O119" s="195"/>
      <c r="P119" s="195"/>
      <c r="Q119" s="195"/>
      <c r="R119" s="195"/>
      <c r="S119" s="195"/>
      <c r="T119" s="195"/>
      <c r="U119" s="195"/>
      <c r="V119" s="195"/>
      <c r="W119" s="195"/>
      <c r="X119" s="195"/>
      <c r="Y119" s="195"/>
      <c r="AA119" s="61"/>
      <c r="AB119" s="61"/>
    </row>
    <row r="120" spans="1:28" ht="31.5" outlineLevel="1" x14ac:dyDescent="0.25">
      <c r="A120" s="8">
        <f t="shared" si="2"/>
        <v>110</v>
      </c>
      <c r="B120" s="41" t="s">
        <v>336</v>
      </c>
      <c r="C120" s="159" t="s">
        <v>636</v>
      </c>
      <c r="D120" s="316" t="s">
        <v>201</v>
      </c>
      <c r="E120" s="317" t="s">
        <v>924</v>
      </c>
      <c r="F120" s="190">
        <f>+IFT!F17</f>
        <v>0</v>
      </c>
      <c r="G120" s="44"/>
      <c r="H120" s="44"/>
      <c r="I120" s="191"/>
      <c r="K120" s="190"/>
      <c r="M120" s="44"/>
      <c r="N120" s="43"/>
      <c r="O120" s="195"/>
      <c r="P120" s="195"/>
      <c r="Q120" s="195"/>
      <c r="R120" s="195"/>
      <c r="S120" s="195"/>
      <c r="T120" s="195"/>
      <c r="U120" s="195"/>
      <c r="V120" s="195"/>
      <c r="W120" s="195"/>
      <c r="X120" s="195"/>
      <c r="Y120" s="195"/>
      <c r="AA120" s="61"/>
      <c r="AB120" s="61"/>
    </row>
    <row r="121" spans="1:28" ht="31.5" outlineLevel="1" x14ac:dyDescent="0.25">
      <c r="A121" s="8">
        <f t="shared" si="2"/>
        <v>111</v>
      </c>
      <c r="B121" s="41" t="s">
        <v>336</v>
      </c>
      <c r="C121" s="56" t="s">
        <v>636</v>
      </c>
      <c r="D121" s="42" t="s">
        <v>608</v>
      </c>
      <c r="E121" s="43" t="s">
        <v>847</v>
      </c>
      <c r="F121" s="190">
        <v>0</v>
      </c>
      <c r="G121" s="44"/>
      <c r="H121" s="44" t="s">
        <v>763</v>
      </c>
      <c r="I121" s="191"/>
      <c r="K121" s="190"/>
      <c r="M121" s="44"/>
      <c r="N121" s="43"/>
      <c r="O121" s="195"/>
      <c r="P121" s="195"/>
      <c r="Q121" s="195"/>
      <c r="R121" s="195"/>
      <c r="S121" s="195"/>
      <c r="T121" s="195"/>
      <c r="U121" s="195"/>
      <c r="V121" s="195"/>
      <c r="W121" s="195"/>
      <c r="X121" s="195"/>
      <c r="Y121" s="195"/>
      <c r="AA121" s="61"/>
      <c r="AB121" s="61"/>
    </row>
    <row r="122" spans="1:28" outlineLevel="1" x14ac:dyDescent="0.25">
      <c r="A122" s="8">
        <f t="shared" si="2"/>
        <v>112</v>
      </c>
      <c r="B122" s="41" t="s">
        <v>337</v>
      </c>
      <c r="C122" s="155" t="s">
        <v>37</v>
      </c>
      <c r="D122" s="316" t="s">
        <v>202</v>
      </c>
      <c r="E122" s="317" t="s">
        <v>609</v>
      </c>
      <c r="F122" s="190">
        <f>+IFT!F20</f>
        <v>1</v>
      </c>
      <c r="G122" s="44"/>
      <c r="H122" s="44"/>
      <c r="I122" s="191"/>
      <c r="K122" s="190"/>
      <c r="M122" s="44"/>
      <c r="N122" s="43"/>
      <c r="O122" s="195"/>
      <c r="P122" s="195"/>
      <c r="Q122" s="195"/>
      <c r="R122" s="195"/>
      <c r="S122" s="195"/>
      <c r="T122" s="195"/>
      <c r="U122" s="195"/>
      <c r="V122" s="195"/>
      <c r="W122" s="195"/>
      <c r="X122" s="195"/>
      <c r="Y122" s="195"/>
      <c r="AA122" s="61"/>
      <c r="AB122" s="61"/>
    </row>
    <row r="123" spans="1:28" outlineLevel="1" x14ac:dyDescent="0.25">
      <c r="A123" s="8">
        <f t="shared" si="2"/>
        <v>113</v>
      </c>
      <c r="B123" s="41" t="s">
        <v>337</v>
      </c>
      <c r="C123" s="56" t="s">
        <v>37</v>
      </c>
      <c r="D123" s="316" t="s">
        <v>203</v>
      </c>
      <c r="E123" s="317" t="s">
        <v>610</v>
      </c>
      <c r="F123" s="190">
        <f>+IFT!F21</f>
        <v>1</v>
      </c>
      <c r="G123" s="44"/>
      <c r="H123" s="44"/>
      <c r="I123" s="191"/>
      <c r="K123" s="190"/>
      <c r="M123" s="44"/>
      <c r="N123" s="43"/>
      <c r="O123" s="195"/>
      <c r="P123" s="195"/>
      <c r="Q123" s="195"/>
      <c r="R123" s="195"/>
      <c r="S123" s="195"/>
      <c r="T123" s="195"/>
      <c r="U123" s="195"/>
      <c r="V123" s="195"/>
      <c r="W123" s="195"/>
      <c r="X123" s="195"/>
      <c r="Y123" s="195"/>
      <c r="AA123" s="61"/>
      <c r="AB123" s="61"/>
    </row>
    <row r="124" spans="1:28" outlineLevel="1" x14ac:dyDescent="0.25">
      <c r="A124" s="8">
        <f t="shared" si="2"/>
        <v>114</v>
      </c>
      <c r="B124" s="41" t="s">
        <v>338</v>
      </c>
      <c r="C124" s="158" t="s">
        <v>39</v>
      </c>
      <c r="D124" s="316" t="s">
        <v>204</v>
      </c>
      <c r="E124" s="317" t="s">
        <v>611</v>
      </c>
      <c r="F124" s="190">
        <f>+IFT!F23</f>
        <v>1</v>
      </c>
      <c r="G124" s="44"/>
      <c r="H124" s="44" t="s">
        <v>762</v>
      </c>
      <c r="I124" s="191"/>
      <c r="K124" s="190"/>
      <c r="M124" s="44"/>
      <c r="N124" s="43"/>
      <c r="O124" s="195"/>
      <c r="P124" s="195"/>
      <c r="Q124" s="195"/>
      <c r="R124" s="195"/>
      <c r="S124" s="195"/>
      <c r="T124" s="195"/>
      <c r="U124" s="195"/>
      <c r="V124" s="195"/>
      <c r="W124" s="195"/>
      <c r="X124" s="195"/>
      <c r="Y124" s="195"/>
      <c r="AA124" s="61"/>
      <c r="AB124" s="61"/>
    </row>
    <row r="125" spans="1:28" ht="31.5" outlineLevel="1" x14ac:dyDescent="0.25">
      <c r="A125" s="8">
        <f t="shared" si="2"/>
        <v>115</v>
      </c>
      <c r="B125" s="41" t="s">
        <v>338</v>
      </c>
      <c r="C125" s="162" t="s">
        <v>39</v>
      </c>
      <c r="D125" s="316" t="s">
        <v>205</v>
      </c>
      <c r="E125" s="317" t="s">
        <v>925</v>
      </c>
      <c r="F125" s="190">
        <f>+IFT!F24</f>
        <v>1</v>
      </c>
      <c r="G125" s="42" t="s">
        <v>926</v>
      </c>
      <c r="H125" s="44" t="s">
        <v>762</v>
      </c>
      <c r="I125" s="191"/>
      <c r="K125" s="190"/>
      <c r="M125" s="44"/>
      <c r="N125" s="43"/>
      <c r="O125" s="195"/>
      <c r="P125" s="195"/>
      <c r="Q125" s="195"/>
      <c r="R125" s="195"/>
      <c r="S125" s="195"/>
      <c r="T125" s="195"/>
      <c r="U125" s="195"/>
      <c r="V125" s="195"/>
      <c r="W125" s="195"/>
      <c r="X125" s="195"/>
      <c r="Y125" s="195"/>
      <c r="AA125" s="61"/>
      <c r="AB125" s="61"/>
    </row>
    <row r="126" spans="1:28" outlineLevel="1" x14ac:dyDescent="0.25">
      <c r="A126" s="8">
        <f t="shared" si="2"/>
        <v>116</v>
      </c>
      <c r="B126" s="41" t="s">
        <v>338</v>
      </c>
      <c r="C126" s="163" t="s">
        <v>39</v>
      </c>
      <c r="D126" s="316" t="s">
        <v>206</v>
      </c>
      <c r="E126" s="317" t="s">
        <v>54</v>
      </c>
      <c r="F126" s="190">
        <f>+IFT!F25</f>
        <v>0</v>
      </c>
      <c r="G126" s="44"/>
      <c r="H126" s="44" t="s">
        <v>762</v>
      </c>
      <c r="I126" s="191"/>
      <c r="K126" s="190"/>
      <c r="M126" s="44"/>
      <c r="N126" s="43"/>
      <c r="O126" s="195"/>
      <c r="P126" s="195"/>
      <c r="Q126" s="195"/>
      <c r="R126" s="195"/>
      <c r="S126" s="195"/>
      <c r="T126" s="195"/>
      <c r="U126" s="195"/>
      <c r="V126" s="195"/>
      <c r="W126" s="195"/>
      <c r="X126" s="195"/>
      <c r="Y126" s="195"/>
      <c r="AA126" s="61"/>
      <c r="AB126" s="61"/>
    </row>
    <row r="127" spans="1:28" outlineLevel="1" x14ac:dyDescent="0.25">
      <c r="A127" s="8">
        <f t="shared" si="2"/>
        <v>117</v>
      </c>
      <c r="B127" s="41" t="s">
        <v>338</v>
      </c>
      <c r="C127" s="56" t="s">
        <v>39</v>
      </c>
      <c r="D127" s="316" t="s">
        <v>207</v>
      </c>
      <c r="E127" s="317" t="s">
        <v>473</v>
      </c>
      <c r="F127" s="190">
        <f>+IFT!F26</f>
        <v>1</v>
      </c>
      <c r="G127" s="44"/>
      <c r="H127" s="44" t="s">
        <v>762</v>
      </c>
      <c r="I127" s="191"/>
      <c r="K127" s="190"/>
      <c r="M127" s="44"/>
      <c r="N127" s="43"/>
      <c r="O127" s="195"/>
      <c r="P127" s="195"/>
      <c r="Q127" s="195"/>
      <c r="R127" s="195"/>
      <c r="S127" s="195"/>
      <c r="T127" s="195"/>
      <c r="U127" s="195"/>
      <c r="V127" s="195"/>
      <c r="W127" s="195"/>
      <c r="X127" s="195"/>
      <c r="Y127" s="195"/>
      <c r="AA127" s="61"/>
      <c r="AB127" s="61"/>
    </row>
    <row r="128" spans="1:28" outlineLevel="1" x14ac:dyDescent="0.25">
      <c r="A128" s="8">
        <f t="shared" si="2"/>
        <v>118</v>
      </c>
      <c r="B128" s="41" t="s">
        <v>339</v>
      </c>
      <c r="C128" s="158" t="s">
        <v>40</v>
      </c>
      <c r="D128" s="316" t="s">
        <v>208</v>
      </c>
      <c r="E128" s="317" t="s">
        <v>474</v>
      </c>
      <c r="F128" s="190">
        <f>+IFT!F27</f>
        <v>1</v>
      </c>
      <c r="G128" s="44"/>
      <c r="H128" s="44" t="s">
        <v>762</v>
      </c>
      <c r="I128" s="191"/>
      <c r="K128" s="190"/>
      <c r="M128" s="44"/>
      <c r="N128" s="43"/>
      <c r="O128" s="195"/>
      <c r="P128" s="195"/>
      <c r="Q128" s="195"/>
      <c r="R128" s="195"/>
      <c r="S128" s="195"/>
      <c r="T128" s="195"/>
      <c r="U128" s="195"/>
      <c r="V128" s="195"/>
      <c r="W128" s="195"/>
      <c r="X128" s="195"/>
      <c r="Y128" s="195"/>
      <c r="AA128" s="61"/>
      <c r="AB128" s="61"/>
    </row>
    <row r="129" spans="1:28" ht="31.5" outlineLevel="1" x14ac:dyDescent="0.25">
      <c r="A129" s="8">
        <f t="shared" si="2"/>
        <v>119</v>
      </c>
      <c r="B129" s="41" t="s">
        <v>339</v>
      </c>
      <c r="C129" s="161" t="s">
        <v>40</v>
      </c>
      <c r="D129" s="316" t="s">
        <v>209</v>
      </c>
      <c r="E129" s="317" t="s">
        <v>475</v>
      </c>
      <c r="F129" s="190">
        <f>+IFT!F28</f>
        <v>0</v>
      </c>
      <c r="G129" s="44"/>
      <c r="H129" s="44" t="s">
        <v>762</v>
      </c>
      <c r="I129" s="191"/>
      <c r="K129" s="190"/>
      <c r="M129" s="44"/>
      <c r="N129" s="43"/>
      <c r="O129" s="195"/>
      <c r="P129" s="195"/>
      <c r="Q129" s="195"/>
      <c r="R129" s="195"/>
      <c r="S129" s="195"/>
      <c r="T129" s="195"/>
      <c r="U129" s="195"/>
      <c r="V129" s="195"/>
      <c r="W129" s="195"/>
      <c r="X129" s="195"/>
      <c r="Y129" s="195"/>
      <c r="AA129" s="61"/>
      <c r="AB129" s="61"/>
    </row>
    <row r="130" spans="1:28" outlineLevel="1" x14ac:dyDescent="0.25">
      <c r="A130" s="8">
        <f t="shared" si="2"/>
        <v>120</v>
      </c>
      <c r="B130" s="41" t="s">
        <v>339</v>
      </c>
      <c r="C130" s="159" t="s">
        <v>40</v>
      </c>
      <c r="D130" s="316" t="s">
        <v>210</v>
      </c>
      <c r="E130" s="317" t="s">
        <v>55</v>
      </c>
      <c r="F130" s="190">
        <f>+IFT!F29</f>
        <v>1</v>
      </c>
      <c r="G130" s="44"/>
      <c r="H130" s="44" t="s">
        <v>762</v>
      </c>
      <c r="I130" s="191"/>
      <c r="K130" s="190"/>
      <c r="M130" s="44"/>
      <c r="N130" s="43"/>
      <c r="O130" s="195"/>
      <c r="P130" s="195"/>
      <c r="Q130" s="195"/>
      <c r="R130" s="195"/>
      <c r="S130" s="195"/>
      <c r="T130" s="195"/>
      <c r="U130" s="195"/>
      <c r="V130" s="195"/>
      <c r="W130" s="195"/>
      <c r="X130" s="195"/>
      <c r="Y130" s="195"/>
      <c r="AA130" s="61"/>
      <c r="AB130" s="61"/>
    </row>
    <row r="131" spans="1:28" outlineLevel="1" x14ac:dyDescent="0.25">
      <c r="A131" s="8">
        <f t="shared" si="2"/>
        <v>121</v>
      </c>
      <c r="B131" s="41" t="s">
        <v>339</v>
      </c>
      <c r="C131" s="56" t="s">
        <v>40</v>
      </c>
      <c r="D131" s="316" t="s">
        <v>211</v>
      </c>
      <c r="E131" s="317" t="s">
        <v>56</v>
      </c>
      <c r="F131" s="190">
        <f>+IFT!F30</f>
        <v>1</v>
      </c>
      <c r="G131" s="42" t="s">
        <v>926</v>
      </c>
      <c r="H131" s="44" t="s">
        <v>762</v>
      </c>
      <c r="I131" s="191"/>
      <c r="K131" s="190"/>
      <c r="M131" s="44"/>
      <c r="N131" s="43"/>
      <c r="O131" s="195"/>
      <c r="P131" s="195"/>
      <c r="Q131" s="195"/>
      <c r="R131" s="195"/>
      <c r="S131" s="195"/>
      <c r="T131" s="195"/>
      <c r="U131" s="195"/>
      <c r="V131" s="195"/>
      <c r="W131" s="195"/>
      <c r="X131" s="195"/>
      <c r="Y131" s="195"/>
      <c r="AA131" s="61"/>
      <c r="AB131" s="61"/>
    </row>
    <row r="132" spans="1:28" outlineLevel="1" x14ac:dyDescent="0.25">
      <c r="A132" s="8">
        <f t="shared" si="2"/>
        <v>122</v>
      </c>
      <c r="B132" s="41" t="s">
        <v>340</v>
      </c>
      <c r="C132" s="158" t="s">
        <v>41</v>
      </c>
      <c r="D132" s="316" t="s">
        <v>212</v>
      </c>
      <c r="E132" s="317" t="s">
        <v>57</v>
      </c>
      <c r="F132" s="190">
        <f>++IFT!F31</f>
        <v>1</v>
      </c>
      <c r="G132" s="44"/>
      <c r="H132" s="44"/>
      <c r="I132" s="191"/>
      <c r="K132" s="190"/>
      <c r="M132" s="44"/>
      <c r="N132" s="43"/>
      <c r="O132" s="195"/>
      <c r="P132" s="195"/>
      <c r="Q132" s="195"/>
      <c r="R132" s="195"/>
      <c r="S132" s="195"/>
      <c r="T132" s="195"/>
      <c r="U132" s="195"/>
      <c r="V132" s="195"/>
      <c r="W132" s="195"/>
      <c r="X132" s="195"/>
      <c r="Y132" s="195"/>
      <c r="AA132" s="61"/>
      <c r="AB132" s="61"/>
    </row>
    <row r="133" spans="1:28" outlineLevel="1" x14ac:dyDescent="0.25">
      <c r="A133" s="8">
        <f t="shared" si="2"/>
        <v>123</v>
      </c>
      <c r="B133" s="41" t="s">
        <v>340</v>
      </c>
      <c r="C133" s="161" t="s">
        <v>41</v>
      </c>
      <c r="D133" s="316" t="s">
        <v>213</v>
      </c>
      <c r="E133" s="317" t="s">
        <v>58</v>
      </c>
      <c r="F133" s="190">
        <f>++IFT!F32</f>
        <v>1</v>
      </c>
      <c r="G133" s="44"/>
      <c r="H133" s="44"/>
      <c r="I133" s="191"/>
      <c r="K133" s="190"/>
      <c r="M133" s="44"/>
      <c r="N133" s="43"/>
      <c r="O133" s="195"/>
      <c r="P133" s="195"/>
      <c r="Q133" s="195"/>
      <c r="R133" s="195"/>
      <c r="S133" s="195"/>
      <c r="T133" s="195"/>
      <c r="U133" s="195"/>
      <c r="V133" s="195"/>
      <c r="W133" s="195"/>
      <c r="X133" s="195"/>
      <c r="Y133" s="195"/>
      <c r="AA133" s="61"/>
      <c r="AB133" s="61"/>
    </row>
    <row r="134" spans="1:28" ht="31.5" outlineLevel="1" x14ac:dyDescent="0.25">
      <c r="A134" s="8">
        <f t="shared" si="2"/>
        <v>124</v>
      </c>
      <c r="B134" s="41" t="s">
        <v>340</v>
      </c>
      <c r="C134" s="56" t="s">
        <v>41</v>
      </c>
      <c r="D134" s="42" t="s">
        <v>612</v>
      </c>
      <c r="E134" s="43" t="s">
        <v>788</v>
      </c>
      <c r="F134" s="190">
        <v>0</v>
      </c>
      <c r="G134" s="44"/>
      <c r="H134" s="44" t="s">
        <v>763</v>
      </c>
      <c r="I134" s="191"/>
      <c r="K134" s="190"/>
      <c r="M134" s="44"/>
      <c r="N134" s="43"/>
      <c r="O134" s="195"/>
      <c r="P134" s="195"/>
      <c r="Q134" s="195"/>
      <c r="R134" s="195"/>
      <c r="S134" s="195"/>
      <c r="T134" s="195"/>
      <c r="U134" s="195"/>
      <c r="V134" s="195"/>
      <c r="W134" s="195"/>
      <c r="X134" s="195"/>
      <c r="Y134" s="195"/>
      <c r="AA134" s="61"/>
      <c r="AB134" s="61"/>
    </row>
    <row r="135" spans="1:28" outlineLevel="1" x14ac:dyDescent="0.25">
      <c r="A135" s="8">
        <f t="shared" si="2"/>
        <v>125</v>
      </c>
      <c r="B135" s="41" t="s">
        <v>341</v>
      </c>
      <c r="C135" s="158" t="s">
        <v>47</v>
      </c>
      <c r="D135" s="316" t="s">
        <v>214</v>
      </c>
      <c r="E135" s="317" t="s">
        <v>476</v>
      </c>
      <c r="F135" s="190">
        <f>+IFT!F33</f>
        <v>1</v>
      </c>
      <c r="G135" s="44"/>
      <c r="H135" s="44"/>
      <c r="I135" s="191"/>
      <c r="K135" s="190"/>
      <c r="M135" s="44"/>
      <c r="N135" s="43"/>
      <c r="O135" s="195"/>
      <c r="P135" s="195"/>
      <c r="Q135" s="195"/>
      <c r="R135" s="195"/>
      <c r="S135" s="195"/>
      <c r="T135" s="195"/>
      <c r="U135" s="195"/>
      <c r="V135" s="195"/>
      <c r="W135" s="195"/>
      <c r="X135" s="195"/>
      <c r="Y135" s="195"/>
      <c r="AA135" s="61"/>
      <c r="AB135" s="61"/>
    </row>
    <row r="136" spans="1:28" outlineLevel="1" x14ac:dyDescent="0.25">
      <c r="A136" s="8">
        <f t="shared" si="2"/>
        <v>126</v>
      </c>
      <c r="B136" s="41" t="s">
        <v>341</v>
      </c>
      <c r="C136" s="159" t="s">
        <v>47</v>
      </c>
      <c r="D136" s="316" t="s">
        <v>215</v>
      </c>
      <c r="E136" s="317" t="s">
        <v>59</v>
      </c>
      <c r="F136" s="190">
        <f>+IFT!F34</f>
        <v>1</v>
      </c>
      <c r="G136" s="44"/>
      <c r="H136" s="44"/>
      <c r="I136" s="191"/>
      <c r="K136" s="190"/>
      <c r="M136" s="44"/>
      <c r="N136" s="43"/>
      <c r="O136" s="195"/>
      <c r="P136" s="195"/>
      <c r="Q136" s="195"/>
      <c r="R136" s="195"/>
      <c r="S136" s="195"/>
      <c r="T136" s="195"/>
      <c r="U136" s="195"/>
      <c r="V136" s="195"/>
      <c r="W136" s="195"/>
      <c r="X136" s="195"/>
      <c r="Y136" s="195"/>
      <c r="AA136" s="61"/>
      <c r="AB136" s="61"/>
    </row>
    <row r="137" spans="1:28" outlineLevel="1" x14ac:dyDescent="0.25">
      <c r="A137" s="8">
        <f t="shared" si="2"/>
        <v>127</v>
      </c>
      <c r="B137" s="41" t="s">
        <v>341</v>
      </c>
      <c r="C137" s="159" t="s">
        <v>47</v>
      </c>
      <c r="D137" s="316" t="s">
        <v>216</v>
      </c>
      <c r="E137" s="317" t="s">
        <v>60</v>
      </c>
      <c r="F137" s="190">
        <f>+IFT!F35</f>
        <v>1</v>
      </c>
      <c r="G137" s="44"/>
      <c r="H137" s="44"/>
      <c r="I137" s="191"/>
      <c r="K137" s="190"/>
      <c r="M137" s="44"/>
      <c r="N137" s="43"/>
      <c r="O137" s="195"/>
      <c r="P137" s="195"/>
      <c r="Q137" s="195"/>
      <c r="R137" s="195"/>
      <c r="S137" s="195"/>
      <c r="T137" s="195"/>
      <c r="U137" s="195"/>
      <c r="V137" s="195"/>
      <c r="W137" s="195"/>
      <c r="X137" s="195"/>
      <c r="Y137" s="195"/>
      <c r="AA137" s="61"/>
      <c r="AB137" s="61"/>
    </row>
    <row r="138" spans="1:28" ht="31.5" outlineLevel="1" x14ac:dyDescent="0.25">
      <c r="A138" s="8">
        <f t="shared" si="2"/>
        <v>128</v>
      </c>
      <c r="B138" s="41" t="s">
        <v>341</v>
      </c>
      <c r="C138" s="159" t="s">
        <v>47</v>
      </c>
      <c r="D138" s="316" t="s">
        <v>217</v>
      </c>
      <c r="E138" s="317" t="s">
        <v>61</v>
      </c>
      <c r="F138" s="190">
        <f>+IFT!F36</f>
        <v>0</v>
      </c>
      <c r="G138" s="44"/>
      <c r="H138" s="44" t="s">
        <v>763</v>
      </c>
      <c r="I138" s="191"/>
      <c r="K138" s="190"/>
      <c r="M138" s="44"/>
      <c r="N138" s="43"/>
      <c r="O138" s="195"/>
      <c r="P138" s="195"/>
      <c r="Q138" s="195"/>
      <c r="R138" s="195"/>
      <c r="S138" s="195"/>
      <c r="T138" s="195"/>
      <c r="U138" s="195"/>
      <c r="V138" s="195"/>
      <c r="W138" s="195"/>
      <c r="X138" s="195"/>
      <c r="Y138" s="195"/>
      <c r="AA138" s="61"/>
      <c r="AB138" s="61"/>
    </row>
    <row r="139" spans="1:28" ht="31.5" outlineLevel="1" x14ac:dyDescent="0.25">
      <c r="A139" s="8">
        <f t="shared" si="2"/>
        <v>129</v>
      </c>
      <c r="B139" s="41" t="s">
        <v>341</v>
      </c>
      <c r="C139" s="161" t="s">
        <v>47</v>
      </c>
      <c r="D139" s="316" t="s">
        <v>242</v>
      </c>
      <c r="E139" s="317" t="s">
        <v>613</v>
      </c>
      <c r="F139" s="190">
        <f>+IDP!F30</f>
        <v>1</v>
      </c>
      <c r="G139" s="44"/>
      <c r="H139" s="44"/>
      <c r="I139" s="191"/>
      <c r="K139" s="190"/>
      <c r="M139" s="44"/>
      <c r="N139" s="43"/>
      <c r="O139" s="195"/>
      <c r="P139" s="195"/>
      <c r="Q139" s="195"/>
      <c r="R139" s="195"/>
      <c r="S139" s="195"/>
      <c r="T139" s="195"/>
      <c r="U139" s="195"/>
      <c r="V139" s="195"/>
      <c r="W139" s="195"/>
      <c r="X139" s="195"/>
      <c r="Y139" s="195"/>
      <c r="AA139" s="61"/>
      <c r="AB139" s="61"/>
    </row>
    <row r="140" spans="1:28" outlineLevel="1" x14ac:dyDescent="0.25">
      <c r="A140" s="8">
        <f t="shared" si="2"/>
        <v>130</v>
      </c>
      <c r="B140" s="41" t="s">
        <v>341</v>
      </c>
      <c r="C140" s="159" t="s">
        <v>47</v>
      </c>
      <c r="D140" s="42" t="s">
        <v>811</v>
      </c>
      <c r="E140" s="43" t="s">
        <v>615</v>
      </c>
      <c r="F140" s="190">
        <v>1</v>
      </c>
      <c r="G140" s="44"/>
      <c r="H140" s="44" t="s">
        <v>763</v>
      </c>
      <c r="I140" s="191"/>
      <c r="K140" s="190"/>
      <c r="M140" s="44"/>
      <c r="N140" s="43"/>
      <c r="O140" s="195"/>
      <c r="P140" s="195"/>
      <c r="Q140" s="195"/>
      <c r="R140" s="195"/>
      <c r="S140" s="195"/>
      <c r="T140" s="195"/>
      <c r="U140" s="195"/>
      <c r="V140" s="195"/>
      <c r="W140" s="195"/>
      <c r="X140" s="195"/>
      <c r="Y140" s="195"/>
      <c r="AA140" s="61"/>
      <c r="AB140" s="61"/>
    </row>
    <row r="141" spans="1:28" ht="47.25" outlineLevel="1" x14ac:dyDescent="0.25">
      <c r="A141" s="8">
        <f t="shared" si="2"/>
        <v>131</v>
      </c>
      <c r="B141" s="41" t="s">
        <v>341</v>
      </c>
      <c r="C141" s="159" t="s">
        <v>47</v>
      </c>
      <c r="D141" s="42" t="s">
        <v>614</v>
      </c>
      <c r="E141" s="43" t="s">
        <v>833</v>
      </c>
      <c r="F141" s="190">
        <v>1</v>
      </c>
      <c r="G141" s="44"/>
      <c r="H141" s="44" t="s">
        <v>763</v>
      </c>
      <c r="I141" s="191"/>
      <c r="K141" s="190"/>
      <c r="M141" s="44"/>
      <c r="N141" s="43"/>
      <c r="O141" s="195"/>
      <c r="P141" s="195"/>
      <c r="Q141" s="195"/>
      <c r="R141" s="195"/>
      <c r="S141" s="195"/>
      <c r="T141" s="195"/>
      <c r="U141" s="195"/>
      <c r="V141" s="195"/>
      <c r="W141" s="195"/>
      <c r="X141" s="195"/>
      <c r="Y141" s="195"/>
      <c r="AA141" s="61"/>
      <c r="AB141" s="61"/>
    </row>
    <row r="142" spans="1:28" ht="31.5" outlineLevel="1" x14ac:dyDescent="0.25">
      <c r="A142" s="8">
        <f t="shared" si="2"/>
        <v>132</v>
      </c>
      <c r="B142" s="41" t="s">
        <v>341</v>
      </c>
      <c r="C142" s="56" t="s">
        <v>47</v>
      </c>
      <c r="D142" s="42" t="s">
        <v>616</v>
      </c>
      <c r="E142" s="43" t="s">
        <v>617</v>
      </c>
      <c r="F142" s="190">
        <v>0</v>
      </c>
      <c r="G142" s="44"/>
      <c r="H142" s="44" t="s">
        <v>763</v>
      </c>
      <c r="I142" s="191"/>
      <c r="K142" s="190"/>
      <c r="M142" s="44"/>
      <c r="N142" s="43"/>
      <c r="O142" s="195"/>
      <c r="P142" s="195"/>
      <c r="Q142" s="195"/>
      <c r="R142" s="195"/>
      <c r="S142" s="195"/>
      <c r="T142" s="195"/>
      <c r="U142" s="195"/>
      <c r="V142" s="195"/>
      <c r="W142" s="195"/>
      <c r="X142" s="195"/>
      <c r="Y142" s="195"/>
      <c r="AA142" s="61"/>
      <c r="AB142" s="61"/>
    </row>
    <row r="143" spans="1:28" outlineLevel="1" x14ac:dyDescent="0.25">
      <c r="A143" s="8">
        <f t="shared" si="2"/>
        <v>133</v>
      </c>
      <c r="B143" s="41" t="s">
        <v>342</v>
      </c>
      <c r="C143" s="158" t="s">
        <v>637</v>
      </c>
      <c r="D143" s="316" t="s">
        <v>221</v>
      </c>
      <c r="E143" s="317" t="s">
        <v>62</v>
      </c>
      <c r="F143" s="190">
        <f>+IFT!F37</f>
        <v>1</v>
      </c>
      <c r="G143" s="44"/>
      <c r="H143" s="44"/>
      <c r="I143" s="191"/>
      <c r="K143" s="190"/>
      <c r="M143" s="44"/>
      <c r="N143" s="43"/>
      <c r="O143" s="195"/>
      <c r="P143" s="195"/>
      <c r="Q143" s="195"/>
      <c r="R143" s="195"/>
      <c r="S143" s="195"/>
      <c r="T143" s="195"/>
      <c r="U143" s="195"/>
      <c r="V143" s="195"/>
      <c r="W143" s="195"/>
      <c r="X143" s="195"/>
      <c r="Y143" s="195"/>
      <c r="AA143" s="61"/>
      <c r="AB143" s="61"/>
    </row>
    <row r="144" spans="1:28" ht="31.5" outlineLevel="1" x14ac:dyDescent="0.25">
      <c r="A144" s="8">
        <f t="shared" si="2"/>
        <v>134</v>
      </c>
      <c r="B144" s="41" t="s">
        <v>342</v>
      </c>
      <c r="C144" s="161" t="s">
        <v>637</v>
      </c>
      <c r="D144" s="316" t="s">
        <v>222</v>
      </c>
      <c r="E144" s="317" t="s">
        <v>477</v>
      </c>
      <c r="F144" s="190">
        <f>+IFT!F38</f>
        <v>1</v>
      </c>
      <c r="G144" s="44"/>
      <c r="H144" s="44"/>
      <c r="I144" s="191"/>
      <c r="K144" s="190"/>
      <c r="M144" s="44"/>
      <c r="N144" s="43"/>
      <c r="O144" s="195"/>
      <c r="P144" s="195"/>
      <c r="Q144" s="195"/>
      <c r="R144" s="195"/>
      <c r="S144" s="195"/>
      <c r="T144" s="195"/>
      <c r="U144" s="195"/>
      <c r="V144" s="195"/>
      <c r="W144" s="195"/>
      <c r="X144" s="195"/>
      <c r="Y144" s="195"/>
      <c r="AA144" s="61"/>
      <c r="AB144" s="61"/>
    </row>
    <row r="145" spans="1:28" ht="31.5" outlineLevel="1" x14ac:dyDescent="0.25">
      <c r="A145" s="8">
        <f t="shared" si="2"/>
        <v>135</v>
      </c>
      <c r="B145" s="41" t="s">
        <v>342</v>
      </c>
      <c r="C145" s="56" t="s">
        <v>637</v>
      </c>
      <c r="D145" s="42" t="s">
        <v>618</v>
      </c>
      <c r="E145" s="43" t="s">
        <v>619</v>
      </c>
      <c r="F145" s="190">
        <v>0</v>
      </c>
      <c r="G145" s="44"/>
      <c r="H145" s="44" t="s">
        <v>763</v>
      </c>
      <c r="I145" s="191"/>
      <c r="K145" s="190"/>
      <c r="M145" s="44"/>
      <c r="N145" s="43"/>
      <c r="O145" s="195"/>
      <c r="P145" s="195"/>
      <c r="Q145" s="195"/>
      <c r="R145" s="195"/>
      <c r="S145" s="195"/>
      <c r="T145" s="195"/>
      <c r="U145" s="195"/>
      <c r="V145" s="195"/>
      <c r="W145" s="195"/>
      <c r="X145" s="195"/>
      <c r="Y145" s="195"/>
      <c r="AA145" s="61"/>
      <c r="AB145" s="61"/>
    </row>
    <row r="146" spans="1:28" ht="31.5" outlineLevel="1" x14ac:dyDescent="0.25">
      <c r="A146" s="8">
        <f t="shared" si="2"/>
        <v>136</v>
      </c>
      <c r="B146" s="41" t="s">
        <v>343</v>
      </c>
      <c r="C146" s="158" t="s">
        <v>45</v>
      </c>
      <c r="D146" s="316" t="s">
        <v>220</v>
      </c>
      <c r="E146" s="317" t="s">
        <v>66</v>
      </c>
      <c r="F146" s="190">
        <f>+IFT!F53</f>
        <v>1</v>
      </c>
      <c r="G146" s="42" t="s">
        <v>756</v>
      </c>
      <c r="H146" s="44"/>
      <c r="I146" s="191"/>
      <c r="K146" s="190"/>
      <c r="M146" s="44"/>
      <c r="N146" s="43"/>
      <c r="O146" s="195"/>
      <c r="P146" s="195"/>
      <c r="Q146" s="195"/>
      <c r="R146" s="195"/>
      <c r="S146" s="195"/>
      <c r="T146" s="195"/>
      <c r="U146" s="195"/>
      <c r="V146" s="195"/>
      <c r="W146" s="195"/>
      <c r="X146" s="195"/>
      <c r="Y146" s="195"/>
      <c r="AA146" s="61"/>
      <c r="AB146" s="61"/>
    </row>
    <row r="147" spans="1:28" outlineLevel="1" x14ac:dyDescent="0.25">
      <c r="A147" s="8">
        <f t="shared" si="2"/>
        <v>137</v>
      </c>
      <c r="B147" s="41" t="s">
        <v>343</v>
      </c>
      <c r="C147" s="159" t="s">
        <v>45</v>
      </c>
      <c r="D147" s="316" t="s">
        <v>218</v>
      </c>
      <c r="E147" s="317" t="s">
        <v>478</v>
      </c>
      <c r="F147" s="190">
        <f>+IFT!F54</f>
        <v>1</v>
      </c>
      <c r="G147" s="42" t="s">
        <v>756</v>
      </c>
      <c r="H147" s="44"/>
      <c r="I147" s="191"/>
      <c r="K147" s="190"/>
      <c r="M147" s="44"/>
      <c r="N147" s="43"/>
      <c r="O147" s="195"/>
      <c r="P147" s="195"/>
      <c r="Q147" s="195"/>
      <c r="R147" s="195"/>
      <c r="S147" s="195"/>
      <c r="T147" s="195"/>
      <c r="U147" s="195"/>
      <c r="V147" s="195"/>
      <c r="W147" s="195"/>
      <c r="X147" s="195"/>
      <c r="Y147" s="195"/>
      <c r="AA147" s="61"/>
      <c r="AB147" s="61"/>
    </row>
    <row r="148" spans="1:28" ht="47.25" outlineLevel="1" x14ac:dyDescent="0.25">
      <c r="A148" s="8">
        <f t="shared" si="2"/>
        <v>138</v>
      </c>
      <c r="B148" s="41" t="s">
        <v>343</v>
      </c>
      <c r="C148" s="160" t="s">
        <v>45</v>
      </c>
      <c r="D148" s="42" t="s">
        <v>219</v>
      </c>
      <c r="E148" s="43" t="s">
        <v>783</v>
      </c>
      <c r="F148" s="190">
        <v>1</v>
      </c>
      <c r="G148" s="44"/>
      <c r="H148" s="44" t="s">
        <v>763</v>
      </c>
      <c r="I148" s="191"/>
      <c r="K148" s="190"/>
      <c r="M148" s="44"/>
      <c r="N148" s="43"/>
      <c r="O148" s="195"/>
      <c r="P148" s="195"/>
      <c r="Q148" s="195"/>
      <c r="R148" s="195"/>
      <c r="S148" s="195"/>
      <c r="T148" s="195"/>
      <c r="U148" s="195"/>
      <c r="V148" s="195"/>
      <c r="W148" s="195"/>
      <c r="X148" s="195"/>
      <c r="Y148" s="195"/>
      <c r="AA148" s="61"/>
      <c r="AB148" s="61"/>
    </row>
    <row r="149" spans="1:28" outlineLevel="1" x14ac:dyDescent="0.25">
      <c r="A149" s="8">
        <f t="shared" si="2"/>
        <v>139</v>
      </c>
      <c r="B149" s="41" t="s">
        <v>343</v>
      </c>
      <c r="C149" s="56" t="s">
        <v>45</v>
      </c>
      <c r="D149" s="316" t="s">
        <v>620</v>
      </c>
      <c r="E149" s="317" t="s">
        <v>425</v>
      </c>
      <c r="F149" s="190">
        <f>+IFT!F56</f>
        <v>1</v>
      </c>
      <c r="G149" s="42" t="s">
        <v>756</v>
      </c>
      <c r="H149" s="44" t="s">
        <v>762</v>
      </c>
      <c r="I149" s="191"/>
      <c r="K149" s="190"/>
      <c r="M149" s="44"/>
      <c r="N149" s="43"/>
      <c r="O149" s="195"/>
      <c r="P149" s="195"/>
      <c r="Q149" s="195"/>
      <c r="R149" s="195"/>
      <c r="S149" s="195"/>
      <c r="T149" s="195"/>
      <c r="U149" s="195"/>
      <c r="V149" s="195"/>
      <c r="W149" s="195"/>
      <c r="X149" s="195"/>
      <c r="Y149" s="195"/>
      <c r="AA149" s="61"/>
      <c r="AB149" s="61"/>
    </row>
    <row r="150" spans="1:28" ht="31.5" outlineLevel="1" x14ac:dyDescent="0.25">
      <c r="A150" s="8">
        <f t="shared" si="2"/>
        <v>140</v>
      </c>
      <c r="B150" s="41" t="s">
        <v>344</v>
      </c>
      <c r="C150" s="166" t="s">
        <v>243</v>
      </c>
      <c r="D150" s="316" t="s">
        <v>244</v>
      </c>
      <c r="E150" s="317" t="s">
        <v>848</v>
      </c>
      <c r="F150" s="190" t="str">
        <f>+IFT!F43</f>
        <v>N/A</v>
      </c>
      <c r="G150" s="44"/>
      <c r="H150" s="44" t="s">
        <v>762</v>
      </c>
      <c r="I150" s="191"/>
      <c r="K150" s="190"/>
      <c r="M150" s="44"/>
      <c r="N150" s="43"/>
      <c r="O150" s="195"/>
      <c r="P150" s="195"/>
      <c r="Q150" s="195"/>
      <c r="R150" s="195"/>
      <c r="S150" s="195"/>
      <c r="T150" s="195"/>
      <c r="U150" s="195"/>
      <c r="V150" s="195"/>
      <c r="W150" s="195"/>
      <c r="X150" s="195"/>
      <c r="Y150" s="195"/>
      <c r="AA150" s="61"/>
      <c r="AB150" s="61"/>
    </row>
    <row r="151" spans="1:28" outlineLevel="1" x14ac:dyDescent="0.25">
      <c r="A151" s="8">
        <f t="shared" si="2"/>
        <v>141</v>
      </c>
      <c r="B151" s="41" t="s">
        <v>344</v>
      </c>
      <c r="C151" s="165" t="s">
        <v>243</v>
      </c>
      <c r="D151" s="316" t="s">
        <v>812</v>
      </c>
      <c r="E151" s="317" t="s">
        <v>123</v>
      </c>
      <c r="F151" s="190">
        <f>+IFT!F45</f>
        <v>0</v>
      </c>
      <c r="G151" s="44"/>
      <c r="H151" s="44" t="s">
        <v>762</v>
      </c>
      <c r="I151" s="191"/>
      <c r="K151" s="190"/>
      <c r="M151" s="44"/>
      <c r="N151" s="43"/>
      <c r="O151" s="195"/>
      <c r="P151" s="195"/>
      <c r="Q151" s="195"/>
      <c r="R151" s="195"/>
      <c r="S151" s="195"/>
      <c r="T151" s="195"/>
      <c r="U151" s="195"/>
      <c r="V151" s="195"/>
      <c r="W151" s="195"/>
      <c r="X151" s="195"/>
      <c r="Y151" s="195"/>
      <c r="AA151" s="61"/>
      <c r="AB151" s="61"/>
    </row>
    <row r="152" spans="1:28" outlineLevel="1" x14ac:dyDescent="0.25">
      <c r="A152" s="8">
        <f t="shared" si="2"/>
        <v>142</v>
      </c>
      <c r="B152" s="41" t="s">
        <v>344</v>
      </c>
      <c r="C152" s="56" t="s">
        <v>243</v>
      </c>
      <c r="D152" s="316" t="s">
        <v>813</v>
      </c>
      <c r="E152" s="317" t="s">
        <v>124</v>
      </c>
      <c r="F152" s="190">
        <f>+IFT!F46</f>
        <v>1</v>
      </c>
      <c r="G152" s="44"/>
      <c r="H152" s="44" t="s">
        <v>762</v>
      </c>
      <c r="I152" s="191"/>
      <c r="K152" s="190"/>
      <c r="M152" s="44"/>
      <c r="N152" s="43"/>
      <c r="O152" s="195"/>
      <c r="P152" s="195"/>
      <c r="Q152" s="195"/>
      <c r="R152" s="195"/>
      <c r="S152" s="195"/>
      <c r="T152" s="195"/>
      <c r="U152" s="195"/>
      <c r="V152" s="195"/>
      <c r="W152" s="195"/>
      <c r="X152" s="195"/>
      <c r="Y152" s="195"/>
      <c r="AA152" s="61"/>
      <c r="AB152" s="61"/>
    </row>
    <row r="153" spans="1:28" ht="31.5" outlineLevel="1" x14ac:dyDescent="0.25">
      <c r="A153" s="8">
        <f t="shared" si="2"/>
        <v>143</v>
      </c>
      <c r="B153" s="41" t="s">
        <v>345</v>
      </c>
      <c r="C153" s="158" t="s">
        <v>43</v>
      </c>
      <c r="D153" s="316" t="s">
        <v>223</v>
      </c>
      <c r="E153" s="317" t="s">
        <v>479</v>
      </c>
      <c r="F153" s="190" t="str">
        <f>+IFT!F47</f>
        <v>N/A</v>
      </c>
      <c r="G153" s="42" t="s">
        <v>758</v>
      </c>
      <c r="H153" s="44" t="s">
        <v>762</v>
      </c>
      <c r="I153" s="191"/>
      <c r="K153" s="190"/>
      <c r="M153" s="44"/>
      <c r="N153" s="43"/>
      <c r="O153" s="195"/>
      <c r="P153" s="195"/>
      <c r="Q153" s="195"/>
      <c r="R153" s="195"/>
      <c r="S153" s="195"/>
      <c r="T153" s="195"/>
      <c r="U153" s="195"/>
      <c r="V153" s="195"/>
      <c r="W153" s="195"/>
      <c r="X153" s="195"/>
      <c r="Y153" s="195"/>
      <c r="AA153" s="61"/>
      <c r="AB153" s="61"/>
    </row>
    <row r="154" spans="1:28" ht="31.5" outlineLevel="1" x14ac:dyDescent="0.25">
      <c r="A154" s="8">
        <f t="shared" si="2"/>
        <v>144</v>
      </c>
      <c r="B154" s="41" t="s">
        <v>345</v>
      </c>
      <c r="C154" s="159" t="s">
        <v>43</v>
      </c>
      <c r="D154" s="316" t="s">
        <v>224</v>
      </c>
      <c r="E154" s="317" t="s">
        <v>63</v>
      </c>
      <c r="F154" s="190" t="str">
        <f>+IFT!F48</f>
        <v>N/A</v>
      </c>
      <c r="G154" s="42" t="s">
        <v>758</v>
      </c>
      <c r="H154" s="44" t="s">
        <v>762</v>
      </c>
      <c r="I154" s="191"/>
      <c r="K154" s="190"/>
      <c r="M154" s="44"/>
      <c r="N154" s="43"/>
      <c r="O154" s="195"/>
      <c r="P154" s="195"/>
      <c r="Q154" s="195"/>
      <c r="R154" s="195"/>
      <c r="S154" s="195"/>
      <c r="T154" s="195"/>
      <c r="U154" s="195"/>
      <c r="V154" s="195"/>
      <c r="W154" s="195"/>
      <c r="X154" s="195"/>
      <c r="Y154" s="195"/>
      <c r="AA154" s="61"/>
      <c r="AB154" s="61"/>
    </row>
    <row r="155" spans="1:28" outlineLevel="1" x14ac:dyDescent="0.25">
      <c r="A155" s="8">
        <f t="shared" si="2"/>
        <v>145</v>
      </c>
      <c r="B155" s="41" t="s">
        <v>345</v>
      </c>
      <c r="C155" s="162" t="s">
        <v>43</v>
      </c>
      <c r="D155" s="316" t="s">
        <v>225</v>
      </c>
      <c r="E155" s="317" t="s">
        <v>480</v>
      </c>
      <c r="F155" s="190" t="str">
        <f>+IFT!F49</f>
        <v>N/A</v>
      </c>
      <c r="G155" s="42" t="s">
        <v>758</v>
      </c>
      <c r="H155" s="44" t="s">
        <v>762</v>
      </c>
      <c r="I155" s="191"/>
      <c r="K155" s="190"/>
      <c r="M155" s="44"/>
      <c r="N155" s="43"/>
      <c r="O155" s="195"/>
      <c r="P155" s="195"/>
      <c r="Q155" s="195"/>
      <c r="R155" s="195"/>
      <c r="S155" s="195"/>
      <c r="T155" s="195"/>
      <c r="U155" s="195"/>
      <c r="V155" s="195"/>
      <c r="W155" s="195"/>
      <c r="X155" s="195"/>
      <c r="Y155" s="195"/>
      <c r="AA155" s="61"/>
      <c r="AB155" s="61"/>
    </row>
    <row r="156" spans="1:28" ht="47.25" outlineLevel="1" x14ac:dyDescent="0.25">
      <c r="A156" s="8">
        <f t="shared" si="2"/>
        <v>146</v>
      </c>
      <c r="B156" s="41" t="s">
        <v>345</v>
      </c>
      <c r="C156" s="56" t="s">
        <v>43</v>
      </c>
      <c r="D156" s="42" t="s">
        <v>621</v>
      </c>
      <c r="E156" s="43" t="s">
        <v>927</v>
      </c>
      <c r="F156" s="190">
        <v>0</v>
      </c>
      <c r="G156" s="44"/>
      <c r="H156" s="44" t="s">
        <v>763</v>
      </c>
      <c r="I156" s="191"/>
      <c r="K156" s="190"/>
      <c r="M156" s="44"/>
      <c r="N156" s="43"/>
      <c r="O156" s="195"/>
      <c r="P156" s="195"/>
      <c r="Q156" s="195"/>
      <c r="R156" s="195"/>
      <c r="S156" s="195"/>
      <c r="T156" s="195"/>
      <c r="U156" s="195"/>
      <c r="V156" s="195"/>
      <c r="W156" s="195"/>
      <c r="X156" s="195"/>
      <c r="Y156" s="195"/>
      <c r="AA156" s="61"/>
      <c r="AB156" s="61"/>
    </row>
    <row r="157" spans="1:28" ht="31.5" outlineLevel="1" x14ac:dyDescent="0.25">
      <c r="A157" s="8">
        <f t="shared" si="2"/>
        <v>147</v>
      </c>
      <c r="B157" s="41" t="s">
        <v>346</v>
      </c>
      <c r="C157" s="158" t="s">
        <v>44</v>
      </c>
      <c r="D157" s="316" t="s">
        <v>226</v>
      </c>
      <c r="E157" s="317" t="s">
        <v>481</v>
      </c>
      <c r="F157" s="190" t="str">
        <f>+IFT!F50</f>
        <v>N/A</v>
      </c>
      <c r="G157" s="42" t="s">
        <v>757</v>
      </c>
      <c r="H157" s="44" t="s">
        <v>762</v>
      </c>
      <c r="I157" s="191"/>
      <c r="K157" s="190"/>
      <c r="M157" s="44"/>
      <c r="N157" s="43"/>
      <c r="O157" s="195"/>
      <c r="P157" s="195"/>
      <c r="Q157" s="195"/>
      <c r="R157" s="195"/>
      <c r="S157" s="195"/>
      <c r="T157" s="195"/>
      <c r="U157" s="195"/>
      <c r="V157" s="195"/>
      <c r="W157" s="195"/>
      <c r="X157" s="195"/>
      <c r="Y157" s="195"/>
      <c r="AA157" s="61"/>
      <c r="AB157" s="61"/>
    </row>
    <row r="158" spans="1:28" outlineLevel="1" x14ac:dyDescent="0.25">
      <c r="A158" s="8">
        <f t="shared" si="2"/>
        <v>148</v>
      </c>
      <c r="B158" s="41" t="s">
        <v>346</v>
      </c>
      <c r="C158" s="159" t="s">
        <v>44</v>
      </c>
      <c r="D158" s="316" t="s">
        <v>227</v>
      </c>
      <c r="E158" s="317" t="s">
        <v>64</v>
      </c>
      <c r="F158" s="190" t="str">
        <f>+IFT!F51</f>
        <v>N/A</v>
      </c>
      <c r="G158" s="42" t="s">
        <v>757</v>
      </c>
      <c r="H158" s="44" t="s">
        <v>762</v>
      </c>
      <c r="I158" s="191"/>
      <c r="K158" s="190"/>
      <c r="M158" s="44"/>
      <c r="N158" s="43"/>
      <c r="O158" s="195"/>
      <c r="P158" s="195"/>
      <c r="Q158" s="195"/>
      <c r="R158" s="195"/>
      <c r="S158" s="195"/>
      <c r="T158" s="195"/>
      <c r="U158" s="195"/>
      <c r="V158" s="195"/>
      <c r="W158" s="195"/>
      <c r="X158" s="195"/>
      <c r="Y158" s="195"/>
      <c r="AA158" s="61"/>
      <c r="AB158" s="61"/>
    </row>
    <row r="159" spans="1:28" outlineLevel="1" x14ac:dyDescent="0.25">
      <c r="A159" s="8">
        <f t="shared" si="2"/>
        <v>149</v>
      </c>
      <c r="B159" s="41" t="s">
        <v>346</v>
      </c>
      <c r="C159" s="156" t="s">
        <v>44</v>
      </c>
      <c r="D159" s="316" t="s">
        <v>228</v>
      </c>
      <c r="E159" s="317" t="s">
        <v>65</v>
      </c>
      <c r="F159" s="190" t="str">
        <f>+IFT!F52</f>
        <v>N/A</v>
      </c>
      <c r="G159" s="42" t="s">
        <v>757</v>
      </c>
      <c r="H159" s="44" t="s">
        <v>762</v>
      </c>
      <c r="I159" s="191"/>
      <c r="K159" s="190"/>
      <c r="M159" s="44"/>
      <c r="N159" s="43"/>
      <c r="O159" s="195"/>
      <c r="P159" s="195"/>
      <c r="Q159" s="195"/>
      <c r="R159" s="195"/>
      <c r="S159" s="195"/>
      <c r="T159" s="195"/>
      <c r="U159" s="195"/>
      <c r="V159" s="195"/>
      <c r="W159" s="195"/>
      <c r="X159" s="195"/>
      <c r="Y159" s="195"/>
      <c r="AA159" s="61"/>
      <c r="AB159" s="61"/>
    </row>
    <row r="160" spans="1:28" ht="31.5" outlineLevel="1" x14ac:dyDescent="0.25">
      <c r="A160" s="8">
        <f t="shared" si="2"/>
        <v>150</v>
      </c>
      <c r="B160" s="41" t="s">
        <v>346</v>
      </c>
      <c r="C160" s="56" t="s">
        <v>44</v>
      </c>
      <c r="D160" s="42" t="s">
        <v>499</v>
      </c>
      <c r="E160" s="43" t="s">
        <v>622</v>
      </c>
      <c r="F160" s="190" t="s">
        <v>142</v>
      </c>
      <c r="G160" s="44"/>
      <c r="H160" s="44" t="s">
        <v>763</v>
      </c>
      <c r="I160" s="191"/>
      <c r="K160" s="190"/>
      <c r="M160" s="44"/>
      <c r="N160" s="43"/>
      <c r="O160" s="195"/>
      <c r="P160" s="195"/>
      <c r="Q160" s="195"/>
      <c r="R160" s="195"/>
      <c r="S160" s="195"/>
      <c r="T160" s="195"/>
      <c r="U160" s="195"/>
      <c r="V160" s="195"/>
      <c r="W160" s="195"/>
      <c r="X160" s="195"/>
      <c r="Y160" s="195"/>
      <c r="AA160" s="61"/>
      <c r="AB160" s="61"/>
    </row>
    <row r="161" spans="1:28" outlineLevel="1" x14ac:dyDescent="0.25">
      <c r="A161" s="8">
        <f t="shared" si="2"/>
        <v>151</v>
      </c>
      <c r="B161" s="41" t="s">
        <v>347</v>
      </c>
      <c r="C161" s="158" t="s">
        <v>42</v>
      </c>
      <c r="D161" s="42" t="s">
        <v>229</v>
      </c>
      <c r="E161" s="43" t="s">
        <v>482</v>
      </c>
      <c r="F161" s="190">
        <v>1</v>
      </c>
      <c r="G161" s="44"/>
      <c r="H161" s="44" t="s">
        <v>762</v>
      </c>
      <c r="I161" s="191"/>
      <c r="K161" s="190"/>
      <c r="M161" s="44"/>
      <c r="N161" s="43"/>
      <c r="O161" s="195"/>
      <c r="P161" s="195"/>
      <c r="Q161" s="195"/>
      <c r="R161" s="195"/>
      <c r="S161" s="195"/>
      <c r="T161" s="195"/>
      <c r="U161" s="195"/>
      <c r="V161" s="195"/>
      <c r="W161" s="195"/>
      <c r="X161" s="195"/>
      <c r="Y161" s="195"/>
      <c r="AA161" s="61"/>
      <c r="AB161" s="61"/>
    </row>
    <row r="162" spans="1:28" ht="31.5" outlineLevel="1" x14ac:dyDescent="0.25">
      <c r="A162" s="8">
        <f t="shared" si="2"/>
        <v>152</v>
      </c>
      <c r="B162" s="41" t="s">
        <v>347</v>
      </c>
      <c r="C162" s="156" t="s">
        <v>42</v>
      </c>
      <c r="D162" s="42" t="s">
        <v>230</v>
      </c>
      <c r="E162" s="43" t="s">
        <v>483</v>
      </c>
      <c r="F162" s="190">
        <v>1</v>
      </c>
      <c r="G162" s="44"/>
      <c r="H162" s="44" t="s">
        <v>762</v>
      </c>
      <c r="I162" s="191" t="s">
        <v>1231</v>
      </c>
      <c r="K162" s="190"/>
      <c r="M162" s="44"/>
      <c r="N162" s="43"/>
      <c r="O162" s="195"/>
      <c r="P162" s="195"/>
      <c r="Q162" s="195"/>
      <c r="R162" s="195"/>
      <c r="S162" s="195"/>
      <c r="T162" s="195"/>
      <c r="U162" s="195"/>
      <c r="V162" s="195"/>
      <c r="W162" s="195"/>
      <c r="X162" s="195"/>
      <c r="Y162" s="195"/>
      <c r="AA162" s="61"/>
      <c r="AB162" s="61"/>
    </row>
    <row r="163" spans="1:28" ht="31.5" outlineLevel="1" x14ac:dyDescent="0.25">
      <c r="A163" s="8">
        <f t="shared" si="2"/>
        <v>153</v>
      </c>
      <c r="B163" s="41" t="s">
        <v>347</v>
      </c>
      <c r="C163" s="56" t="s">
        <v>42</v>
      </c>
      <c r="D163" s="42" t="s">
        <v>623</v>
      </c>
      <c r="E163" s="43" t="s">
        <v>624</v>
      </c>
      <c r="F163" s="190">
        <v>0</v>
      </c>
      <c r="G163" s="44"/>
      <c r="H163" s="44" t="s">
        <v>763</v>
      </c>
      <c r="I163" s="193"/>
      <c r="K163" s="190"/>
      <c r="M163" s="44"/>
      <c r="N163" s="43"/>
      <c r="O163" s="195"/>
      <c r="P163" s="195"/>
      <c r="Q163" s="195"/>
      <c r="R163" s="195"/>
      <c r="S163" s="195"/>
      <c r="T163" s="195"/>
      <c r="U163" s="195"/>
      <c r="V163" s="195"/>
      <c r="W163" s="195"/>
      <c r="X163" s="195"/>
      <c r="Y163" s="195"/>
      <c r="AA163" s="61"/>
      <c r="AB163" s="61"/>
    </row>
    <row r="164" spans="1:28" ht="31.5" outlineLevel="1" x14ac:dyDescent="0.25">
      <c r="A164" s="8">
        <f t="shared" si="2"/>
        <v>154</v>
      </c>
      <c r="B164" s="41" t="s">
        <v>348</v>
      </c>
      <c r="C164" s="158" t="s">
        <v>38</v>
      </c>
      <c r="D164" s="45" t="s">
        <v>231</v>
      </c>
      <c r="E164" s="46" t="s">
        <v>484</v>
      </c>
      <c r="F164" s="190">
        <v>1</v>
      </c>
      <c r="G164" s="42" t="s">
        <v>760</v>
      </c>
      <c r="H164" s="42"/>
      <c r="I164" s="191"/>
      <c r="K164" s="190"/>
      <c r="M164" s="44"/>
      <c r="N164" s="43"/>
      <c r="O164" s="195"/>
      <c r="P164" s="195"/>
      <c r="Q164" s="195"/>
      <c r="R164" s="195"/>
      <c r="S164" s="195"/>
      <c r="T164" s="195"/>
      <c r="U164" s="195"/>
      <c r="V164" s="195"/>
      <c r="W164" s="195"/>
      <c r="X164" s="195"/>
      <c r="Y164" s="195"/>
      <c r="AA164" s="61"/>
      <c r="AB164" s="61"/>
    </row>
    <row r="165" spans="1:28" ht="31.5" outlineLevel="1" x14ac:dyDescent="0.25">
      <c r="A165" s="8">
        <f t="shared" si="2"/>
        <v>155</v>
      </c>
      <c r="B165" s="41" t="s">
        <v>348</v>
      </c>
      <c r="C165" s="160" t="s">
        <v>38</v>
      </c>
      <c r="D165" s="316" t="s">
        <v>232</v>
      </c>
      <c r="E165" s="317" t="s">
        <v>53</v>
      </c>
      <c r="F165" s="190">
        <f>+IFT!F22</f>
        <v>1</v>
      </c>
      <c r="G165" s="42" t="s">
        <v>760</v>
      </c>
      <c r="H165" s="42"/>
      <c r="I165" s="191"/>
      <c r="K165" s="190"/>
      <c r="M165" s="44"/>
      <c r="N165" s="43"/>
      <c r="O165" s="195"/>
      <c r="P165" s="195"/>
      <c r="Q165" s="195"/>
      <c r="R165" s="195"/>
      <c r="S165" s="195"/>
      <c r="T165" s="195"/>
      <c r="U165" s="195"/>
      <c r="V165" s="195"/>
      <c r="W165" s="195"/>
      <c r="X165" s="195"/>
      <c r="Y165" s="195"/>
      <c r="AA165" s="61"/>
      <c r="AB165" s="61"/>
    </row>
    <row r="166" spans="1:28" ht="31.5" outlineLevel="1" x14ac:dyDescent="0.25">
      <c r="A166" s="8">
        <f t="shared" si="2"/>
        <v>156</v>
      </c>
      <c r="B166" s="41" t="s">
        <v>348</v>
      </c>
      <c r="C166" s="56" t="s">
        <v>38</v>
      </c>
      <c r="D166" s="42" t="s">
        <v>233</v>
      </c>
      <c r="E166" s="43" t="s">
        <v>485</v>
      </c>
      <c r="F166" s="190">
        <v>1</v>
      </c>
      <c r="G166" s="42"/>
      <c r="H166" s="42"/>
      <c r="I166" s="191"/>
      <c r="K166" s="190"/>
      <c r="M166" s="44"/>
      <c r="N166" s="43"/>
      <c r="O166" s="195"/>
      <c r="P166" s="195"/>
      <c r="Q166" s="195"/>
      <c r="R166" s="195"/>
      <c r="S166" s="195"/>
      <c r="T166" s="195"/>
      <c r="U166" s="195"/>
      <c r="V166" s="195"/>
      <c r="W166" s="195"/>
      <c r="X166" s="195"/>
      <c r="Y166" s="195"/>
      <c r="AA166" s="61"/>
      <c r="AB166" s="61"/>
    </row>
    <row r="167" spans="1:28" outlineLevel="1" x14ac:dyDescent="0.25">
      <c r="A167" s="8">
        <f t="shared" si="2"/>
        <v>157</v>
      </c>
      <c r="B167" s="41" t="s">
        <v>349</v>
      </c>
      <c r="C167" s="158" t="s">
        <v>49</v>
      </c>
      <c r="D167" s="316" t="s">
        <v>234</v>
      </c>
      <c r="E167" s="317" t="s">
        <v>67</v>
      </c>
      <c r="F167" s="190">
        <f>+IFT!F62</f>
        <v>1</v>
      </c>
      <c r="G167" s="44"/>
      <c r="H167" s="44"/>
      <c r="I167" s="191"/>
      <c r="K167" s="190"/>
      <c r="M167" s="44"/>
      <c r="N167" s="43"/>
      <c r="O167" s="195"/>
      <c r="P167" s="195"/>
      <c r="Q167" s="195"/>
      <c r="R167" s="195"/>
      <c r="S167" s="195"/>
      <c r="T167" s="195"/>
      <c r="U167" s="195"/>
      <c r="V167" s="195"/>
      <c r="W167" s="195"/>
      <c r="X167" s="195"/>
      <c r="Y167" s="195"/>
      <c r="AA167" s="61"/>
      <c r="AB167" s="61"/>
    </row>
    <row r="168" spans="1:28" outlineLevel="1" x14ac:dyDescent="0.25">
      <c r="A168" s="8">
        <f t="shared" si="2"/>
        <v>158</v>
      </c>
      <c r="B168" s="41" t="s">
        <v>349</v>
      </c>
      <c r="C168" s="159" t="s">
        <v>49</v>
      </c>
      <c r="D168" s="316" t="s">
        <v>235</v>
      </c>
      <c r="E168" s="317" t="s">
        <v>68</v>
      </c>
      <c r="F168" s="190">
        <f>+IFT!F63</f>
        <v>1</v>
      </c>
      <c r="G168" s="44"/>
      <c r="H168" s="44"/>
      <c r="I168" s="191"/>
      <c r="K168" s="190"/>
      <c r="M168" s="44"/>
      <c r="N168" s="43"/>
      <c r="O168" s="195"/>
      <c r="P168" s="195"/>
      <c r="Q168" s="195"/>
      <c r="R168" s="195"/>
      <c r="S168" s="195"/>
      <c r="T168" s="195"/>
      <c r="U168" s="195"/>
      <c r="V168" s="195"/>
      <c r="W168" s="195"/>
      <c r="X168" s="195"/>
      <c r="Y168" s="195"/>
      <c r="AA168" s="61"/>
      <c r="AB168" s="61"/>
    </row>
    <row r="169" spans="1:28" outlineLevel="1" x14ac:dyDescent="0.25">
      <c r="A169" s="8">
        <f t="shared" si="2"/>
        <v>159</v>
      </c>
      <c r="B169" s="41" t="s">
        <v>349</v>
      </c>
      <c r="C169" s="159" t="s">
        <v>49</v>
      </c>
      <c r="D169" s="316" t="s">
        <v>236</v>
      </c>
      <c r="E169" s="317" t="s">
        <v>69</v>
      </c>
      <c r="F169" s="190">
        <f>+IFT!F64</f>
        <v>1</v>
      </c>
      <c r="G169" s="44"/>
      <c r="H169" s="44"/>
      <c r="I169" s="191"/>
      <c r="K169" s="190"/>
      <c r="M169" s="44"/>
      <c r="N169" s="43"/>
      <c r="O169" s="195"/>
      <c r="P169" s="195"/>
      <c r="Q169" s="195"/>
      <c r="R169" s="195"/>
      <c r="S169" s="195"/>
      <c r="T169" s="195"/>
      <c r="U169" s="195"/>
      <c r="V169" s="195"/>
      <c r="W169" s="195"/>
      <c r="X169" s="195"/>
      <c r="Y169" s="195"/>
      <c r="AA169" s="61"/>
      <c r="AB169" s="61"/>
    </row>
    <row r="170" spans="1:28" ht="47.25" outlineLevel="1" x14ac:dyDescent="0.25">
      <c r="A170" s="8">
        <f t="shared" si="2"/>
        <v>160</v>
      </c>
      <c r="B170" s="41" t="s">
        <v>349</v>
      </c>
      <c r="C170" s="159" t="s">
        <v>49</v>
      </c>
      <c r="D170" s="42" t="s">
        <v>625</v>
      </c>
      <c r="E170" s="43" t="s">
        <v>626</v>
      </c>
      <c r="F170" s="190">
        <v>0</v>
      </c>
      <c r="G170" s="44"/>
      <c r="H170" s="44" t="s">
        <v>763</v>
      </c>
      <c r="I170" s="191"/>
      <c r="K170" s="190"/>
      <c r="M170" s="44"/>
      <c r="N170" s="43"/>
      <c r="O170" s="195"/>
      <c r="P170" s="195"/>
      <c r="Q170" s="195"/>
      <c r="R170" s="195"/>
      <c r="S170" s="195"/>
      <c r="T170" s="195"/>
      <c r="U170" s="195"/>
      <c r="V170" s="195"/>
      <c r="W170" s="195"/>
      <c r="X170" s="195"/>
      <c r="Y170" s="195"/>
      <c r="AA170" s="61"/>
      <c r="AB170" s="61"/>
    </row>
    <row r="171" spans="1:28" ht="47.25" outlineLevel="1" x14ac:dyDescent="0.25">
      <c r="A171" s="8">
        <f t="shared" si="2"/>
        <v>161</v>
      </c>
      <c r="B171" s="41" t="s">
        <v>349</v>
      </c>
      <c r="C171" s="162" t="s">
        <v>49</v>
      </c>
      <c r="D171" s="42" t="s">
        <v>627</v>
      </c>
      <c r="E171" s="43" t="s">
        <v>628</v>
      </c>
      <c r="F171" s="190">
        <v>0</v>
      </c>
      <c r="G171" s="44"/>
      <c r="H171" s="44" t="s">
        <v>763</v>
      </c>
      <c r="I171" s="191"/>
      <c r="K171" s="190"/>
      <c r="M171" s="44"/>
      <c r="N171" s="43"/>
      <c r="O171" s="195"/>
      <c r="P171" s="195"/>
      <c r="Q171" s="195"/>
      <c r="R171" s="195"/>
      <c r="S171" s="195"/>
      <c r="T171" s="195"/>
      <c r="U171" s="195"/>
      <c r="V171" s="195"/>
      <c r="W171" s="195"/>
      <c r="X171" s="195"/>
      <c r="Y171" s="195"/>
      <c r="AA171" s="61"/>
      <c r="AB171" s="61"/>
    </row>
    <row r="172" spans="1:28" ht="78.75" outlineLevel="1" x14ac:dyDescent="0.25">
      <c r="A172" s="8">
        <f t="shared" si="2"/>
        <v>162</v>
      </c>
      <c r="B172" s="41" t="s">
        <v>349</v>
      </c>
      <c r="C172" s="56" t="s">
        <v>49</v>
      </c>
      <c r="D172" s="42" t="s">
        <v>629</v>
      </c>
      <c r="E172" s="43" t="s">
        <v>928</v>
      </c>
      <c r="F172" s="190">
        <v>0</v>
      </c>
      <c r="G172" s="44"/>
      <c r="H172" s="44" t="s">
        <v>763</v>
      </c>
      <c r="I172" s="191"/>
      <c r="K172" s="190"/>
      <c r="M172" s="44"/>
      <c r="N172" s="43"/>
      <c r="O172" s="195"/>
      <c r="P172" s="195"/>
      <c r="Q172" s="195"/>
      <c r="R172" s="195"/>
      <c r="S172" s="195"/>
      <c r="T172" s="195"/>
      <c r="U172" s="195"/>
      <c r="V172" s="195"/>
      <c r="W172" s="195"/>
      <c r="X172" s="195"/>
      <c r="Y172" s="195"/>
      <c r="AA172" s="61"/>
      <c r="AB172" s="61"/>
    </row>
    <row r="173" spans="1:28" ht="31.5" outlineLevel="1" x14ac:dyDescent="0.25">
      <c r="A173" s="8">
        <f t="shared" si="2"/>
        <v>163</v>
      </c>
      <c r="B173" s="41" t="s">
        <v>350</v>
      </c>
      <c r="C173" s="42" t="s">
        <v>50</v>
      </c>
      <c r="D173" s="316" t="s">
        <v>237</v>
      </c>
      <c r="E173" s="317" t="s">
        <v>849</v>
      </c>
      <c r="F173" s="190">
        <f>+IFT!F65</f>
        <v>1</v>
      </c>
      <c r="G173" s="44"/>
      <c r="H173" s="44"/>
      <c r="I173" s="191"/>
      <c r="K173" s="190"/>
      <c r="M173" s="44"/>
      <c r="N173" s="43"/>
      <c r="O173" s="195"/>
      <c r="P173" s="195"/>
      <c r="Q173" s="195"/>
      <c r="R173" s="195"/>
      <c r="S173" s="195"/>
      <c r="T173" s="195"/>
      <c r="U173" s="195"/>
      <c r="V173" s="195"/>
      <c r="W173" s="195"/>
      <c r="X173" s="195"/>
      <c r="Y173" s="195"/>
      <c r="AA173" s="61"/>
      <c r="AB173" s="61"/>
    </row>
    <row r="174" spans="1:28" ht="31.5" outlineLevel="1" x14ac:dyDescent="0.25">
      <c r="A174" s="8">
        <f t="shared" si="2"/>
        <v>164</v>
      </c>
      <c r="B174" s="41" t="s">
        <v>351</v>
      </c>
      <c r="C174" s="158" t="s">
        <v>46</v>
      </c>
      <c r="D174" s="42" t="s">
        <v>238</v>
      </c>
      <c r="E174" s="43" t="s">
        <v>491</v>
      </c>
      <c r="F174" s="190">
        <v>0</v>
      </c>
      <c r="G174" s="44"/>
      <c r="H174" s="44"/>
      <c r="I174" s="191"/>
      <c r="K174" s="190"/>
      <c r="M174" s="44"/>
      <c r="N174" s="43"/>
      <c r="O174" s="195"/>
      <c r="P174" s="195"/>
      <c r="Q174" s="195"/>
      <c r="R174" s="195"/>
      <c r="S174" s="195"/>
      <c r="T174" s="195"/>
      <c r="U174" s="195"/>
      <c r="V174" s="195"/>
      <c r="W174" s="195"/>
      <c r="X174" s="195"/>
      <c r="Y174" s="195"/>
      <c r="AA174" s="61"/>
      <c r="AB174" s="61"/>
    </row>
    <row r="175" spans="1:28" outlineLevel="1" x14ac:dyDescent="0.25">
      <c r="A175" s="8">
        <f t="shared" ref="A175:A185" si="3">A174+1</f>
        <v>165</v>
      </c>
      <c r="B175" s="41" t="s">
        <v>351</v>
      </c>
      <c r="C175" s="159" t="s">
        <v>46</v>
      </c>
      <c r="D175" s="316" t="s">
        <v>822</v>
      </c>
      <c r="E175" s="317" t="s">
        <v>630</v>
      </c>
      <c r="F175" s="190">
        <f>+IFT!F59</f>
        <v>1</v>
      </c>
      <c r="G175" s="44"/>
      <c r="H175" s="44"/>
      <c r="I175" s="191"/>
      <c r="K175" s="190"/>
      <c r="M175" s="44"/>
      <c r="N175" s="43"/>
      <c r="O175" s="195"/>
      <c r="P175" s="195"/>
      <c r="Q175" s="195"/>
      <c r="R175" s="195"/>
      <c r="S175" s="195"/>
      <c r="T175" s="195"/>
      <c r="U175" s="195"/>
      <c r="V175" s="195"/>
      <c r="W175" s="195"/>
      <c r="X175" s="195"/>
      <c r="Y175" s="195"/>
      <c r="AA175" s="61"/>
      <c r="AB175" s="61"/>
    </row>
    <row r="176" spans="1:28" ht="47.25" outlineLevel="1" x14ac:dyDescent="0.25">
      <c r="A176" s="8">
        <f t="shared" si="3"/>
        <v>166</v>
      </c>
      <c r="B176" s="41" t="s">
        <v>351</v>
      </c>
      <c r="C176" s="159" t="s">
        <v>46</v>
      </c>
      <c r="D176" s="42" t="s">
        <v>823</v>
      </c>
      <c r="E176" s="43" t="s">
        <v>631</v>
      </c>
      <c r="F176" s="190">
        <v>0</v>
      </c>
      <c r="G176" s="44"/>
      <c r="H176" s="44" t="s">
        <v>763</v>
      </c>
      <c r="I176" s="191"/>
      <c r="K176" s="190"/>
      <c r="M176" s="44"/>
      <c r="N176" s="43"/>
      <c r="O176" s="195"/>
      <c r="P176" s="195"/>
      <c r="Q176" s="195"/>
      <c r="R176" s="195"/>
      <c r="S176" s="195"/>
      <c r="T176" s="195"/>
      <c r="U176" s="195"/>
      <c r="V176" s="195"/>
      <c r="W176" s="195"/>
      <c r="X176" s="195"/>
      <c r="Y176" s="195"/>
      <c r="AA176" s="61"/>
      <c r="AB176" s="61"/>
    </row>
    <row r="177" spans="1:28" ht="63" outlineLevel="1" x14ac:dyDescent="0.25">
      <c r="A177" s="8">
        <f t="shared" si="3"/>
        <v>167</v>
      </c>
      <c r="B177" s="41" t="s">
        <v>351</v>
      </c>
      <c r="C177" s="156" t="s">
        <v>46</v>
      </c>
      <c r="D177" s="42" t="s">
        <v>824</v>
      </c>
      <c r="E177" s="43" t="s">
        <v>632</v>
      </c>
      <c r="F177" s="190">
        <v>0</v>
      </c>
      <c r="G177" s="44"/>
      <c r="H177" s="44" t="s">
        <v>763</v>
      </c>
      <c r="I177" s="191"/>
      <c r="K177" s="190"/>
      <c r="M177" s="44"/>
      <c r="N177" s="43"/>
      <c r="O177" s="195"/>
      <c r="P177" s="195"/>
      <c r="Q177" s="195"/>
      <c r="R177" s="195"/>
      <c r="S177" s="195"/>
      <c r="T177" s="195"/>
      <c r="U177" s="195"/>
      <c r="V177" s="195"/>
      <c r="W177" s="195"/>
      <c r="X177" s="195"/>
      <c r="Y177" s="195"/>
      <c r="AA177" s="61"/>
      <c r="AB177" s="61"/>
    </row>
    <row r="178" spans="1:28" ht="47.25" outlineLevel="1" x14ac:dyDescent="0.25">
      <c r="A178" s="8">
        <f t="shared" si="3"/>
        <v>168</v>
      </c>
      <c r="B178" s="41" t="s">
        <v>351</v>
      </c>
      <c r="C178" s="56" t="s">
        <v>46</v>
      </c>
      <c r="D178" s="42" t="s">
        <v>825</v>
      </c>
      <c r="E178" s="43" t="s">
        <v>784</v>
      </c>
      <c r="F178" s="190">
        <v>1</v>
      </c>
      <c r="G178" s="44"/>
      <c r="H178" s="44" t="s">
        <v>763</v>
      </c>
      <c r="I178" s="191"/>
      <c r="K178" s="190"/>
      <c r="M178" s="44"/>
      <c r="N178" s="43"/>
      <c r="O178" s="195"/>
      <c r="P178" s="195"/>
      <c r="Q178" s="195"/>
      <c r="R178" s="195"/>
      <c r="S178" s="195"/>
      <c r="T178" s="195"/>
      <c r="U178" s="195"/>
      <c r="V178" s="195"/>
      <c r="W178" s="195"/>
      <c r="X178" s="195"/>
      <c r="Y178" s="195"/>
      <c r="AA178" s="61"/>
      <c r="AB178" s="61"/>
    </row>
    <row r="179" spans="1:28" ht="31.5" outlineLevel="1" x14ac:dyDescent="0.25">
      <c r="A179" s="8">
        <f t="shared" si="3"/>
        <v>169</v>
      </c>
      <c r="B179" s="41" t="s">
        <v>352</v>
      </c>
      <c r="C179" s="155" t="s">
        <v>48</v>
      </c>
      <c r="D179" s="316" t="s">
        <v>239</v>
      </c>
      <c r="E179" s="317" t="s">
        <v>486</v>
      </c>
      <c r="F179" s="190">
        <f>+IDP!F37</f>
        <v>1</v>
      </c>
      <c r="G179" s="47"/>
      <c r="H179" s="44"/>
      <c r="I179" s="191"/>
      <c r="K179" s="190"/>
      <c r="M179" s="44"/>
      <c r="N179" s="43"/>
      <c r="O179" s="195"/>
      <c r="P179" s="195"/>
      <c r="Q179" s="195"/>
      <c r="R179" s="195"/>
      <c r="S179" s="195"/>
      <c r="T179" s="195"/>
      <c r="U179" s="195"/>
      <c r="V179" s="195"/>
      <c r="W179" s="195"/>
      <c r="X179" s="195"/>
      <c r="Y179" s="195"/>
      <c r="AA179" s="61"/>
      <c r="AB179" s="61"/>
    </row>
    <row r="180" spans="1:28" ht="31.5" outlineLevel="1" x14ac:dyDescent="0.25">
      <c r="A180" s="8">
        <f t="shared" si="3"/>
        <v>170</v>
      </c>
      <c r="B180" s="41" t="s">
        <v>352</v>
      </c>
      <c r="C180" s="56" t="s">
        <v>48</v>
      </c>
      <c r="D180" s="316" t="s">
        <v>507</v>
      </c>
      <c r="E180" s="317" t="s">
        <v>487</v>
      </c>
      <c r="F180" s="190">
        <f>+IDP!F38</f>
        <v>1</v>
      </c>
      <c r="G180" s="44"/>
      <c r="H180" s="44"/>
      <c r="I180" s="191"/>
      <c r="K180" s="190"/>
      <c r="M180" s="44"/>
      <c r="N180" s="43"/>
      <c r="O180" s="195"/>
      <c r="P180" s="195"/>
      <c r="Q180" s="195"/>
      <c r="R180" s="195"/>
      <c r="S180" s="195"/>
      <c r="T180" s="195"/>
      <c r="U180" s="195"/>
      <c r="V180" s="195"/>
      <c r="W180" s="195"/>
      <c r="X180" s="195"/>
      <c r="Y180" s="195"/>
      <c r="AA180" s="61"/>
      <c r="AB180" s="61"/>
    </row>
    <row r="181" spans="1:28" ht="31.5" outlineLevel="1" x14ac:dyDescent="0.25">
      <c r="A181" s="8">
        <f t="shared" si="3"/>
        <v>171</v>
      </c>
      <c r="B181" s="41" t="s">
        <v>353</v>
      </c>
      <c r="C181" s="158" t="s">
        <v>638</v>
      </c>
      <c r="D181" s="42" t="s">
        <v>240</v>
      </c>
      <c r="E181" s="43" t="s">
        <v>633</v>
      </c>
      <c r="F181" s="190">
        <v>1</v>
      </c>
      <c r="G181" s="44"/>
      <c r="H181" s="44" t="s">
        <v>763</v>
      </c>
      <c r="I181" s="191"/>
      <c r="K181" s="190"/>
      <c r="M181" s="44"/>
      <c r="N181" s="43"/>
      <c r="O181" s="195"/>
      <c r="P181" s="195"/>
      <c r="Q181" s="195"/>
      <c r="R181" s="195"/>
      <c r="S181" s="195"/>
      <c r="T181" s="195"/>
      <c r="U181" s="195"/>
      <c r="V181" s="195"/>
      <c r="W181" s="195"/>
      <c r="X181" s="195"/>
      <c r="Y181" s="195"/>
      <c r="AA181" s="61"/>
      <c r="AB181" s="61"/>
    </row>
    <row r="182" spans="1:28" ht="31.5" outlineLevel="1" x14ac:dyDescent="0.25">
      <c r="A182" s="8">
        <f t="shared" si="3"/>
        <v>172</v>
      </c>
      <c r="B182" s="41" t="s">
        <v>353</v>
      </c>
      <c r="C182" s="159" t="s">
        <v>638</v>
      </c>
      <c r="D182" s="42" t="s">
        <v>241</v>
      </c>
      <c r="E182" s="43" t="s">
        <v>634</v>
      </c>
      <c r="F182" s="190">
        <v>0</v>
      </c>
      <c r="G182" s="44" t="s">
        <v>746</v>
      </c>
      <c r="H182" s="44"/>
      <c r="I182" s="191"/>
      <c r="K182" s="190"/>
      <c r="M182" s="44"/>
      <c r="N182" s="43"/>
      <c r="O182" s="195"/>
      <c r="P182" s="195"/>
      <c r="Q182" s="195"/>
      <c r="R182" s="195"/>
      <c r="S182" s="195"/>
      <c r="T182" s="195"/>
      <c r="U182" s="195"/>
      <c r="V182" s="195"/>
      <c r="W182" s="195"/>
      <c r="X182" s="195"/>
      <c r="Y182" s="195"/>
      <c r="AA182" s="61"/>
      <c r="AB182" s="61"/>
    </row>
    <row r="183" spans="1:28" outlineLevel="1" x14ac:dyDescent="0.25">
      <c r="A183" s="8">
        <f t="shared" si="3"/>
        <v>173</v>
      </c>
      <c r="B183" s="41" t="s">
        <v>353</v>
      </c>
      <c r="C183" s="159" t="s">
        <v>638</v>
      </c>
      <c r="D183" s="42" t="s">
        <v>826</v>
      </c>
      <c r="E183" s="43" t="s">
        <v>635</v>
      </c>
      <c r="F183" s="190">
        <v>0</v>
      </c>
      <c r="G183" s="44" t="s">
        <v>746</v>
      </c>
      <c r="H183" s="44"/>
      <c r="I183" s="191"/>
      <c r="K183" s="190"/>
      <c r="M183" s="44"/>
      <c r="N183" s="43"/>
      <c r="O183" s="195"/>
      <c r="P183" s="195"/>
      <c r="Q183" s="195"/>
      <c r="R183" s="195"/>
      <c r="S183" s="195"/>
      <c r="T183" s="195"/>
      <c r="U183" s="195"/>
      <c r="V183" s="195"/>
      <c r="W183" s="195"/>
      <c r="X183" s="195"/>
      <c r="Y183" s="195"/>
      <c r="AA183" s="61"/>
      <c r="AB183" s="61"/>
    </row>
    <row r="184" spans="1:28" ht="31.5" outlineLevel="1" x14ac:dyDescent="0.25">
      <c r="A184" s="8">
        <f t="shared" si="3"/>
        <v>174</v>
      </c>
      <c r="B184" s="41" t="s">
        <v>353</v>
      </c>
      <c r="C184" s="156" t="s">
        <v>638</v>
      </c>
      <c r="D184" s="42" t="s">
        <v>827</v>
      </c>
      <c r="E184" s="43" t="s">
        <v>929</v>
      </c>
      <c r="F184" s="190">
        <v>0</v>
      </c>
      <c r="G184" s="44"/>
      <c r="H184" s="44" t="s">
        <v>763</v>
      </c>
      <c r="I184" s="191"/>
      <c r="K184" s="190"/>
      <c r="M184" s="44"/>
      <c r="N184" s="43"/>
      <c r="O184" s="195"/>
      <c r="P184" s="195"/>
      <c r="Q184" s="195"/>
      <c r="R184" s="195"/>
      <c r="S184" s="195"/>
      <c r="T184" s="195"/>
      <c r="U184" s="195"/>
      <c r="V184" s="195"/>
      <c r="W184" s="195"/>
      <c r="X184" s="195"/>
      <c r="Y184" s="195"/>
      <c r="AA184" s="61"/>
      <c r="AB184" s="61"/>
    </row>
    <row r="185" spans="1:28" ht="63" outlineLevel="1" x14ac:dyDescent="0.25">
      <c r="A185" s="8">
        <f t="shared" si="3"/>
        <v>175</v>
      </c>
      <c r="B185" s="41" t="s">
        <v>353</v>
      </c>
      <c r="C185" s="56" t="s">
        <v>638</v>
      </c>
      <c r="D185" s="42" t="s">
        <v>828</v>
      </c>
      <c r="E185" s="43" t="s">
        <v>850</v>
      </c>
      <c r="F185" s="190">
        <v>0</v>
      </c>
      <c r="G185" s="44"/>
      <c r="H185" s="44" t="s">
        <v>763</v>
      </c>
      <c r="I185" s="191"/>
      <c r="K185" s="190"/>
      <c r="M185" s="44"/>
      <c r="N185" s="43"/>
      <c r="O185" s="195"/>
      <c r="P185" s="195"/>
      <c r="Q185" s="195"/>
      <c r="R185" s="195"/>
      <c r="S185" s="195"/>
      <c r="T185" s="195"/>
      <c r="U185" s="195"/>
      <c r="V185" s="195"/>
      <c r="W185" s="195"/>
      <c r="X185" s="195"/>
      <c r="Y185" s="195"/>
      <c r="AA185" s="61"/>
      <c r="AB185" s="61"/>
    </row>
    <row r="186" spans="1:28" ht="24" customHeight="1" x14ac:dyDescent="0.25">
      <c r="B186" s="62">
        <v>4</v>
      </c>
      <c r="C186" s="63" t="s">
        <v>15</v>
      </c>
      <c r="D186" s="64"/>
      <c r="E186" s="65"/>
      <c r="F186" s="66">
        <f>IFERROR(SUMIF(F187:F211,1,F187:F211)/SUM(COUNTIF(F187:F211,1),COUNTIF(F187:F211,0)),0)</f>
        <v>0.28000000000000003</v>
      </c>
      <c r="G186" s="66"/>
      <c r="H186" s="66"/>
      <c r="I186" s="189"/>
      <c r="K186" s="66">
        <f>IFERROR(SUMIF(K187:K211,1,K187:K211)/SUM(COUNTIF(K187:K211,1),COUNTIF(K187:K211,0)),0)</f>
        <v>0</v>
      </c>
      <c r="M186" s="66">
        <f>IFERROR(SUMIF(M187:M211,1,M187:M211)/SUM(COUNTIF(M187:M211,1),COUNTIF(M187:M211,0)),0)</f>
        <v>0</v>
      </c>
      <c r="N186" s="66"/>
      <c r="O186" s="198"/>
      <c r="P186" s="198"/>
      <c r="Q186" s="198"/>
      <c r="R186" s="198"/>
      <c r="S186" s="198"/>
      <c r="T186" s="198"/>
      <c r="U186" s="198"/>
      <c r="V186" s="198"/>
      <c r="W186" s="198"/>
      <c r="X186" s="198"/>
      <c r="Y186" s="198"/>
      <c r="AA186" s="60">
        <v>0.05</v>
      </c>
      <c r="AB186" s="60">
        <f>+AA186/$AB$3</f>
        <v>0.1</v>
      </c>
    </row>
    <row r="187" spans="1:28" ht="31.5" outlineLevel="2" x14ac:dyDescent="0.25">
      <c r="A187" s="8">
        <f>+A185+1</f>
        <v>176</v>
      </c>
      <c r="B187" s="41" t="s">
        <v>354</v>
      </c>
      <c r="C187" s="158" t="s">
        <v>654</v>
      </c>
      <c r="D187" s="42" t="s">
        <v>245</v>
      </c>
      <c r="E187" s="43" t="s">
        <v>639</v>
      </c>
      <c r="F187" s="190">
        <v>1</v>
      </c>
      <c r="G187" s="44"/>
      <c r="H187" s="44" t="s">
        <v>763</v>
      </c>
      <c r="I187" s="191"/>
      <c r="K187" s="190"/>
      <c r="M187" s="44"/>
      <c r="N187" s="43"/>
      <c r="O187" s="195"/>
      <c r="P187" s="195"/>
      <c r="Q187" s="195"/>
      <c r="R187" s="195"/>
      <c r="S187" s="195"/>
      <c r="T187" s="195"/>
      <c r="U187" s="195"/>
      <c r="V187" s="195"/>
      <c r="W187" s="195"/>
      <c r="X187" s="195"/>
      <c r="Y187" s="195"/>
      <c r="AA187" s="61"/>
      <c r="AB187" s="61"/>
    </row>
    <row r="188" spans="1:28" ht="31.5" outlineLevel="2" x14ac:dyDescent="0.25">
      <c r="A188" s="8">
        <f>+A187+1</f>
        <v>177</v>
      </c>
      <c r="B188" s="41" t="s">
        <v>354</v>
      </c>
      <c r="C188" s="159" t="s">
        <v>654</v>
      </c>
      <c r="D188" s="42" t="s">
        <v>246</v>
      </c>
      <c r="E188" s="43" t="s">
        <v>640</v>
      </c>
      <c r="F188" s="190">
        <v>0</v>
      </c>
      <c r="G188" s="44"/>
      <c r="H188" s="44" t="s">
        <v>763</v>
      </c>
      <c r="I188" s="191"/>
      <c r="K188" s="190"/>
      <c r="M188" s="44"/>
      <c r="N188" s="43"/>
      <c r="O188" s="195"/>
      <c r="P188" s="195"/>
      <c r="Q188" s="195"/>
      <c r="R188" s="195"/>
      <c r="S188" s="195"/>
      <c r="T188" s="195"/>
      <c r="U188" s="195"/>
      <c r="V188" s="195"/>
      <c r="W188" s="195"/>
      <c r="X188" s="195"/>
      <c r="Y188" s="195"/>
      <c r="AA188" s="61"/>
      <c r="AB188" s="61"/>
    </row>
    <row r="189" spans="1:28" ht="31.5" outlineLevel="2" x14ac:dyDescent="0.25">
      <c r="A189" s="8">
        <f t="shared" ref="A189:A211" si="4">+A188+1</f>
        <v>178</v>
      </c>
      <c r="B189" s="41" t="s">
        <v>354</v>
      </c>
      <c r="C189" s="159" t="s">
        <v>654</v>
      </c>
      <c r="D189" s="42" t="s">
        <v>247</v>
      </c>
      <c r="E189" s="43" t="s">
        <v>641</v>
      </c>
      <c r="F189" s="190">
        <v>0</v>
      </c>
      <c r="G189" s="44"/>
      <c r="H189" s="44" t="s">
        <v>763</v>
      </c>
      <c r="I189" s="191"/>
      <c r="K189" s="190"/>
      <c r="M189" s="44"/>
      <c r="N189" s="43"/>
      <c r="O189" s="195"/>
      <c r="P189" s="195"/>
      <c r="Q189" s="195"/>
      <c r="R189" s="195"/>
      <c r="S189" s="195"/>
      <c r="T189" s="195"/>
      <c r="U189" s="195"/>
      <c r="V189" s="195"/>
      <c r="W189" s="195"/>
      <c r="X189" s="195"/>
      <c r="Y189" s="195"/>
      <c r="AA189" s="61"/>
      <c r="AB189" s="61"/>
    </row>
    <row r="190" spans="1:28" ht="47.25" outlineLevel="2" x14ac:dyDescent="0.25">
      <c r="A190" s="8">
        <f t="shared" si="4"/>
        <v>179</v>
      </c>
      <c r="B190" s="41" t="s">
        <v>354</v>
      </c>
      <c r="C190" s="162" t="s">
        <v>654</v>
      </c>
      <c r="D190" s="42" t="s">
        <v>248</v>
      </c>
      <c r="E190" s="43" t="s">
        <v>642</v>
      </c>
      <c r="F190" s="190">
        <v>0</v>
      </c>
      <c r="G190" s="44"/>
      <c r="H190" s="44" t="s">
        <v>763</v>
      </c>
      <c r="I190" s="191"/>
      <c r="K190" s="190"/>
      <c r="M190" s="44"/>
      <c r="N190" s="43"/>
      <c r="O190" s="195"/>
      <c r="P190" s="195"/>
      <c r="Q190" s="195"/>
      <c r="R190" s="195"/>
      <c r="S190" s="195"/>
      <c r="T190" s="195"/>
      <c r="U190" s="195"/>
      <c r="V190" s="195"/>
      <c r="W190" s="195"/>
      <c r="X190" s="195"/>
      <c r="Y190" s="195"/>
      <c r="AA190" s="61"/>
      <c r="AB190" s="61"/>
    </row>
    <row r="191" spans="1:28" outlineLevel="2" x14ac:dyDescent="0.25">
      <c r="A191" s="8">
        <f t="shared" si="4"/>
        <v>180</v>
      </c>
      <c r="B191" s="41" t="s">
        <v>355</v>
      </c>
      <c r="C191" s="158" t="s">
        <v>29</v>
      </c>
      <c r="D191" s="316" t="s">
        <v>250</v>
      </c>
      <c r="E191" s="317" t="s">
        <v>643</v>
      </c>
      <c r="F191" s="190">
        <f>+GST!F16</f>
        <v>1</v>
      </c>
      <c r="G191" s="44"/>
      <c r="H191" s="44"/>
      <c r="I191" s="191"/>
      <c r="K191" s="190"/>
      <c r="M191" s="44"/>
      <c r="N191" s="43"/>
      <c r="O191" s="195"/>
      <c r="P191" s="195"/>
      <c r="Q191" s="195"/>
      <c r="R191" s="195"/>
      <c r="S191" s="195"/>
      <c r="T191" s="195"/>
      <c r="U191" s="195"/>
      <c r="V191" s="195"/>
      <c r="W191" s="195"/>
      <c r="X191" s="195"/>
      <c r="Y191" s="195"/>
      <c r="AA191" s="61"/>
      <c r="AB191" s="61"/>
    </row>
    <row r="192" spans="1:28" outlineLevel="2" x14ac:dyDescent="0.25">
      <c r="A192" s="8">
        <f t="shared" si="4"/>
        <v>181</v>
      </c>
      <c r="B192" s="41" t="s">
        <v>355</v>
      </c>
      <c r="C192" s="156" t="s">
        <v>29</v>
      </c>
      <c r="D192" s="316" t="s">
        <v>251</v>
      </c>
      <c r="E192" s="317" t="s">
        <v>31</v>
      </c>
      <c r="F192" s="190">
        <f>+GST!F17</f>
        <v>1</v>
      </c>
      <c r="G192" s="44"/>
      <c r="H192" s="44"/>
      <c r="I192" s="191"/>
      <c r="K192" s="190"/>
      <c r="M192" s="44"/>
      <c r="N192" s="43"/>
      <c r="O192" s="195"/>
      <c r="P192" s="195"/>
      <c r="Q192" s="195"/>
      <c r="R192" s="195"/>
      <c r="S192" s="195"/>
      <c r="T192" s="195"/>
      <c r="U192" s="195"/>
      <c r="V192" s="195"/>
      <c r="W192" s="195"/>
      <c r="X192" s="195"/>
      <c r="Y192" s="195"/>
      <c r="AA192" s="61"/>
      <c r="AB192" s="61"/>
    </row>
    <row r="193" spans="1:28" outlineLevel="2" x14ac:dyDescent="0.25">
      <c r="A193" s="8">
        <f t="shared" si="4"/>
        <v>182</v>
      </c>
      <c r="B193" s="41" t="s">
        <v>355</v>
      </c>
      <c r="C193" s="159" t="s">
        <v>29</v>
      </c>
      <c r="D193" s="316" t="s">
        <v>644</v>
      </c>
      <c r="E193" s="317" t="s">
        <v>32</v>
      </c>
      <c r="F193" s="190">
        <f>+GST!F18</f>
        <v>1</v>
      </c>
      <c r="G193" s="44"/>
      <c r="H193" s="44"/>
      <c r="I193" s="191"/>
      <c r="K193" s="190"/>
      <c r="M193" s="44"/>
      <c r="N193" s="43"/>
      <c r="O193" s="195"/>
      <c r="P193" s="195"/>
      <c r="Q193" s="195"/>
      <c r="R193" s="195"/>
      <c r="S193" s="195"/>
      <c r="T193" s="195"/>
      <c r="U193" s="195"/>
      <c r="V193" s="195"/>
      <c r="W193" s="195"/>
      <c r="X193" s="195"/>
      <c r="Y193" s="195"/>
      <c r="AA193" s="61"/>
      <c r="AB193" s="61"/>
    </row>
    <row r="194" spans="1:28" outlineLevel="2" x14ac:dyDescent="0.25">
      <c r="A194" s="8">
        <f t="shared" si="4"/>
        <v>183</v>
      </c>
      <c r="B194" s="41" t="s">
        <v>355</v>
      </c>
      <c r="C194" s="56" t="s">
        <v>29</v>
      </c>
      <c r="D194" s="316" t="s">
        <v>645</v>
      </c>
      <c r="E194" s="317" t="s">
        <v>33</v>
      </c>
      <c r="F194" s="190">
        <f>+GST!F19</f>
        <v>1</v>
      </c>
      <c r="G194" s="44"/>
      <c r="H194" s="44"/>
      <c r="I194" s="191"/>
      <c r="K194" s="190"/>
      <c r="M194" s="44"/>
      <c r="N194" s="43"/>
      <c r="O194" s="195"/>
      <c r="P194" s="195"/>
      <c r="Q194" s="195"/>
      <c r="R194" s="195"/>
      <c r="S194" s="195"/>
      <c r="T194" s="195"/>
      <c r="U194" s="195"/>
      <c r="V194" s="195"/>
      <c r="W194" s="195"/>
      <c r="X194" s="195"/>
      <c r="Y194" s="195"/>
      <c r="AA194" s="61"/>
      <c r="AB194" s="61"/>
    </row>
    <row r="195" spans="1:28" ht="47.25" outlineLevel="2" x14ac:dyDescent="0.25">
      <c r="A195" s="8">
        <f t="shared" si="4"/>
        <v>184</v>
      </c>
      <c r="B195" s="41" t="s">
        <v>356</v>
      </c>
      <c r="C195" s="42" t="s">
        <v>329</v>
      </c>
      <c r="D195" s="42" t="s">
        <v>252</v>
      </c>
      <c r="E195" s="43" t="s">
        <v>851</v>
      </c>
      <c r="F195" s="190">
        <v>1</v>
      </c>
      <c r="G195" s="44"/>
      <c r="H195" s="44" t="s">
        <v>762</v>
      </c>
      <c r="I195" s="191"/>
      <c r="K195" s="190"/>
      <c r="M195" s="44"/>
      <c r="N195" s="43"/>
      <c r="O195" s="195"/>
      <c r="P195" s="195"/>
      <c r="Q195" s="195"/>
      <c r="R195" s="195"/>
      <c r="S195" s="195"/>
      <c r="T195" s="195"/>
      <c r="U195" s="195"/>
      <c r="V195" s="195"/>
      <c r="W195" s="195"/>
      <c r="X195" s="195"/>
      <c r="Y195" s="195"/>
      <c r="AA195" s="61"/>
      <c r="AB195" s="61"/>
    </row>
    <row r="196" spans="1:28" ht="31.5" outlineLevel="2" x14ac:dyDescent="0.25">
      <c r="A196" s="8">
        <f t="shared" si="4"/>
        <v>185</v>
      </c>
      <c r="B196" s="41" t="s">
        <v>357</v>
      </c>
      <c r="C196" s="168" t="s">
        <v>249</v>
      </c>
      <c r="D196" s="42" t="s">
        <v>258</v>
      </c>
      <c r="E196" s="43" t="s">
        <v>646</v>
      </c>
      <c r="F196" s="190">
        <v>0</v>
      </c>
      <c r="G196" s="44"/>
      <c r="H196" s="44" t="s">
        <v>763</v>
      </c>
      <c r="I196" s="191"/>
      <c r="K196" s="190"/>
      <c r="M196" s="44"/>
      <c r="N196" s="43"/>
      <c r="O196" s="195"/>
      <c r="P196" s="195"/>
      <c r="Q196" s="195"/>
      <c r="R196" s="195"/>
      <c r="S196" s="195"/>
      <c r="T196" s="195"/>
      <c r="U196" s="195"/>
      <c r="V196" s="195"/>
      <c r="W196" s="195"/>
      <c r="X196" s="195"/>
      <c r="Y196" s="195"/>
      <c r="AA196" s="61"/>
      <c r="AB196" s="61"/>
    </row>
    <row r="197" spans="1:28" ht="31.5" outlineLevel="2" x14ac:dyDescent="0.25">
      <c r="A197" s="8">
        <f t="shared" si="4"/>
        <v>186</v>
      </c>
      <c r="B197" s="41" t="s">
        <v>357</v>
      </c>
      <c r="C197" s="56" t="s">
        <v>249</v>
      </c>
      <c r="D197" s="42" t="s">
        <v>259</v>
      </c>
      <c r="E197" s="43" t="s">
        <v>852</v>
      </c>
      <c r="F197" s="190">
        <v>0</v>
      </c>
      <c r="G197" s="44"/>
      <c r="H197" s="44" t="s">
        <v>763</v>
      </c>
      <c r="I197" s="191"/>
      <c r="K197" s="190"/>
      <c r="M197" s="44"/>
      <c r="N197" s="43"/>
      <c r="O197" s="195"/>
      <c r="P197" s="195"/>
      <c r="Q197" s="195"/>
      <c r="R197" s="195"/>
      <c r="S197" s="195"/>
      <c r="T197" s="195"/>
      <c r="U197" s="195"/>
      <c r="V197" s="195"/>
      <c r="W197" s="195"/>
      <c r="X197" s="195"/>
      <c r="Y197" s="195"/>
      <c r="AA197" s="61"/>
      <c r="AB197" s="61"/>
    </row>
    <row r="198" spans="1:28" ht="31.5" outlineLevel="2" x14ac:dyDescent="0.25">
      <c r="A198" s="8">
        <f t="shared" si="4"/>
        <v>187</v>
      </c>
      <c r="B198" s="41" t="s">
        <v>358</v>
      </c>
      <c r="C198" s="158" t="s">
        <v>253</v>
      </c>
      <c r="D198" s="42" t="s">
        <v>260</v>
      </c>
      <c r="E198" s="43" t="s">
        <v>254</v>
      </c>
      <c r="F198" s="190">
        <v>0</v>
      </c>
      <c r="G198" s="44"/>
      <c r="H198" s="44"/>
      <c r="I198" s="191"/>
      <c r="K198" s="190"/>
      <c r="M198" s="44"/>
      <c r="N198" s="43"/>
      <c r="O198" s="195"/>
      <c r="P198" s="195"/>
      <c r="Q198" s="195"/>
      <c r="R198" s="195"/>
      <c r="S198" s="195"/>
      <c r="T198" s="195"/>
      <c r="U198" s="195"/>
      <c r="V198" s="195"/>
      <c r="W198" s="195"/>
      <c r="X198" s="195"/>
      <c r="Y198" s="195"/>
      <c r="AA198" s="61"/>
      <c r="AB198" s="61"/>
    </row>
    <row r="199" spans="1:28" ht="47.25" outlineLevel="2" x14ac:dyDescent="0.25">
      <c r="A199" s="8">
        <f t="shared" si="4"/>
        <v>188</v>
      </c>
      <c r="B199" s="41" t="s">
        <v>358</v>
      </c>
      <c r="C199" s="159" t="s">
        <v>253</v>
      </c>
      <c r="D199" s="42" t="s">
        <v>261</v>
      </c>
      <c r="E199" s="43" t="s">
        <v>647</v>
      </c>
      <c r="F199" s="190">
        <v>0</v>
      </c>
      <c r="G199" s="44"/>
      <c r="H199" s="44" t="s">
        <v>763</v>
      </c>
      <c r="I199" s="191"/>
      <c r="K199" s="190"/>
      <c r="M199" s="44"/>
      <c r="N199" s="43"/>
      <c r="O199" s="195"/>
      <c r="P199" s="195"/>
      <c r="Q199" s="195"/>
      <c r="R199" s="195"/>
      <c r="S199" s="195"/>
      <c r="T199" s="195"/>
      <c r="U199" s="195"/>
      <c r="V199" s="195"/>
      <c r="W199" s="195"/>
      <c r="X199" s="195"/>
      <c r="Y199" s="195"/>
      <c r="AA199" s="61"/>
      <c r="AB199" s="61"/>
    </row>
    <row r="200" spans="1:28" ht="47.25" outlineLevel="2" x14ac:dyDescent="0.25">
      <c r="A200" s="8">
        <f t="shared" si="4"/>
        <v>189</v>
      </c>
      <c r="B200" s="41" t="s">
        <v>358</v>
      </c>
      <c r="C200" s="156" t="s">
        <v>253</v>
      </c>
      <c r="D200" s="42" t="s">
        <v>814</v>
      </c>
      <c r="E200" s="43" t="s">
        <v>648</v>
      </c>
      <c r="F200" s="190">
        <v>0</v>
      </c>
      <c r="G200" s="44"/>
      <c r="H200" s="44" t="s">
        <v>763</v>
      </c>
      <c r="I200" s="191"/>
      <c r="K200" s="190"/>
      <c r="M200" s="44"/>
      <c r="N200" s="43"/>
      <c r="O200" s="195"/>
      <c r="P200" s="195"/>
      <c r="Q200" s="195"/>
      <c r="R200" s="195"/>
      <c r="S200" s="195"/>
      <c r="T200" s="195"/>
      <c r="U200" s="195"/>
      <c r="V200" s="195"/>
      <c r="W200" s="195"/>
      <c r="X200" s="195"/>
      <c r="Y200" s="195"/>
      <c r="AA200" s="61"/>
      <c r="AB200" s="61"/>
    </row>
    <row r="201" spans="1:28" ht="47.25" outlineLevel="2" x14ac:dyDescent="0.25">
      <c r="A201" s="8">
        <f t="shared" si="4"/>
        <v>190</v>
      </c>
      <c r="B201" s="41" t="s">
        <v>358</v>
      </c>
      <c r="C201" s="56" t="s">
        <v>253</v>
      </c>
      <c r="D201" s="42" t="s">
        <v>815</v>
      </c>
      <c r="E201" s="43" t="s">
        <v>1232</v>
      </c>
      <c r="F201" s="190">
        <v>0</v>
      </c>
      <c r="G201" s="44"/>
      <c r="H201" s="44" t="s">
        <v>763</v>
      </c>
      <c r="I201" s="191"/>
      <c r="K201" s="190"/>
      <c r="M201" s="44"/>
      <c r="N201" s="43"/>
      <c r="O201" s="195"/>
      <c r="P201" s="195"/>
      <c r="Q201" s="195"/>
      <c r="R201" s="195"/>
      <c r="S201" s="195"/>
      <c r="T201" s="195"/>
      <c r="U201" s="195"/>
      <c r="V201" s="195"/>
      <c r="W201" s="195"/>
      <c r="X201" s="195"/>
      <c r="Y201" s="195"/>
      <c r="AA201" s="61"/>
      <c r="AB201" s="61"/>
    </row>
    <row r="202" spans="1:28" ht="33.75" customHeight="1" outlineLevel="2" x14ac:dyDescent="0.25">
      <c r="A202" s="8">
        <f t="shared" si="4"/>
        <v>191</v>
      </c>
      <c r="B202" s="41" t="s">
        <v>359</v>
      </c>
      <c r="C202" s="155" t="s">
        <v>255</v>
      </c>
      <c r="D202" s="42" t="s">
        <v>263</v>
      </c>
      <c r="E202" s="43" t="s">
        <v>488</v>
      </c>
      <c r="F202" s="190">
        <v>0</v>
      </c>
      <c r="G202" s="44"/>
      <c r="H202" s="44"/>
      <c r="I202" s="191"/>
      <c r="K202" s="190"/>
      <c r="M202" s="44"/>
      <c r="N202" s="43"/>
      <c r="O202" s="195"/>
      <c r="P202" s="195"/>
      <c r="Q202" s="195"/>
      <c r="R202" s="195"/>
      <c r="S202" s="195"/>
      <c r="T202" s="195"/>
      <c r="U202" s="195"/>
      <c r="V202" s="195"/>
      <c r="W202" s="195"/>
      <c r="X202" s="195"/>
      <c r="Y202" s="195"/>
      <c r="AA202" s="61"/>
      <c r="AB202" s="61"/>
    </row>
    <row r="203" spans="1:28" ht="31.5" outlineLevel="2" x14ac:dyDescent="0.25">
      <c r="A203" s="8">
        <f t="shared" si="4"/>
        <v>192</v>
      </c>
      <c r="B203" s="41" t="s">
        <v>359</v>
      </c>
      <c r="C203" s="157" t="s">
        <v>255</v>
      </c>
      <c r="D203" s="42" t="s">
        <v>264</v>
      </c>
      <c r="E203" s="43" t="s">
        <v>489</v>
      </c>
      <c r="F203" s="190">
        <v>0</v>
      </c>
      <c r="G203" s="44"/>
      <c r="H203" s="44"/>
      <c r="I203" s="191"/>
      <c r="K203" s="190"/>
      <c r="M203" s="44"/>
      <c r="N203" s="43"/>
      <c r="O203" s="195"/>
      <c r="P203" s="195"/>
      <c r="Q203" s="195"/>
      <c r="R203" s="195"/>
      <c r="S203" s="195"/>
      <c r="T203" s="195"/>
      <c r="U203" s="195"/>
      <c r="V203" s="195"/>
      <c r="W203" s="195"/>
      <c r="X203" s="195"/>
      <c r="Y203" s="195"/>
      <c r="AA203" s="61"/>
      <c r="AB203" s="61"/>
    </row>
    <row r="204" spans="1:28" ht="31.5" outlineLevel="2" x14ac:dyDescent="0.25">
      <c r="A204" s="8">
        <f t="shared" si="4"/>
        <v>193</v>
      </c>
      <c r="B204" s="41" t="s">
        <v>360</v>
      </c>
      <c r="C204" s="155" t="s">
        <v>256</v>
      </c>
      <c r="D204" s="42" t="s">
        <v>267</v>
      </c>
      <c r="E204" s="43" t="s">
        <v>257</v>
      </c>
      <c r="F204" s="190">
        <v>0</v>
      </c>
      <c r="G204" s="44"/>
      <c r="H204" s="44"/>
      <c r="I204" s="191"/>
      <c r="K204" s="190"/>
      <c r="M204" s="44"/>
      <c r="N204" s="43"/>
      <c r="O204" s="195"/>
      <c r="P204" s="195"/>
      <c r="Q204" s="195"/>
      <c r="R204" s="195"/>
      <c r="S204" s="195"/>
      <c r="T204" s="195"/>
      <c r="U204" s="195"/>
      <c r="V204" s="195"/>
      <c r="W204" s="195"/>
      <c r="X204" s="195"/>
      <c r="Y204" s="195"/>
      <c r="AA204" s="61"/>
      <c r="AB204" s="61"/>
    </row>
    <row r="205" spans="1:28" ht="31.5" outlineLevel="2" x14ac:dyDescent="0.25">
      <c r="A205" s="8">
        <f t="shared" si="4"/>
        <v>194</v>
      </c>
      <c r="B205" s="41" t="s">
        <v>360</v>
      </c>
      <c r="C205" s="56" t="s">
        <v>256</v>
      </c>
      <c r="D205" s="42" t="s">
        <v>424</v>
      </c>
      <c r="E205" s="43" t="s">
        <v>490</v>
      </c>
      <c r="F205" s="190">
        <v>0</v>
      </c>
      <c r="G205" s="44"/>
      <c r="H205" s="44"/>
      <c r="I205" s="191"/>
      <c r="K205" s="190"/>
      <c r="M205" s="44"/>
      <c r="N205" s="43"/>
      <c r="O205" s="195"/>
      <c r="P205" s="195"/>
      <c r="Q205" s="195"/>
      <c r="R205" s="195"/>
      <c r="S205" s="195"/>
      <c r="T205" s="195"/>
      <c r="U205" s="195"/>
      <c r="V205" s="195"/>
      <c r="W205" s="195"/>
      <c r="X205" s="195"/>
      <c r="Y205" s="195"/>
      <c r="AA205" s="61"/>
      <c r="AB205" s="61"/>
    </row>
    <row r="206" spans="1:28" ht="31.5" outlineLevel="2" x14ac:dyDescent="0.25">
      <c r="A206" s="8">
        <f t="shared" si="4"/>
        <v>195</v>
      </c>
      <c r="B206" s="41" t="s">
        <v>655</v>
      </c>
      <c r="C206" s="158" t="s">
        <v>509</v>
      </c>
      <c r="D206" s="42" t="s">
        <v>652</v>
      </c>
      <c r="E206" s="43" t="s">
        <v>262</v>
      </c>
      <c r="F206" s="190">
        <v>0</v>
      </c>
      <c r="G206" s="44"/>
      <c r="H206" s="44"/>
      <c r="I206" s="191"/>
      <c r="K206" s="190"/>
      <c r="M206" s="44"/>
      <c r="N206" s="43"/>
      <c r="O206" s="195"/>
      <c r="P206" s="195"/>
      <c r="Q206" s="195"/>
      <c r="R206" s="195"/>
      <c r="S206" s="195"/>
      <c r="T206" s="195"/>
      <c r="U206" s="195"/>
      <c r="V206" s="195"/>
      <c r="W206" s="195"/>
      <c r="X206" s="195"/>
      <c r="Y206" s="195"/>
      <c r="AA206" s="61"/>
      <c r="AB206" s="61"/>
    </row>
    <row r="207" spans="1:28" ht="31.5" outlineLevel="2" x14ac:dyDescent="0.25">
      <c r="A207" s="8">
        <f t="shared" si="4"/>
        <v>196</v>
      </c>
      <c r="B207" s="41" t="s">
        <v>655</v>
      </c>
      <c r="C207" s="159" t="s">
        <v>509</v>
      </c>
      <c r="D207" s="316" t="s">
        <v>653</v>
      </c>
      <c r="E207" s="317" t="s">
        <v>35</v>
      </c>
      <c r="F207" s="190">
        <f>+GST!F50</f>
        <v>1</v>
      </c>
      <c r="G207" s="44"/>
      <c r="H207" s="44"/>
      <c r="I207" s="191"/>
      <c r="K207" s="190"/>
      <c r="M207" s="44"/>
      <c r="N207" s="43"/>
      <c r="O207" s="195"/>
      <c r="P207" s="195"/>
      <c r="Q207" s="195"/>
      <c r="R207" s="195"/>
      <c r="S207" s="195"/>
      <c r="T207" s="195"/>
      <c r="U207" s="195"/>
      <c r="V207" s="195"/>
      <c r="W207" s="195"/>
      <c r="X207" s="195"/>
      <c r="Y207" s="195"/>
      <c r="AA207" s="61"/>
      <c r="AB207" s="61"/>
    </row>
    <row r="208" spans="1:28" ht="31.5" outlineLevel="2" x14ac:dyDescent="0.25">
      <c r="A208" s="8">
        <f t="shared" si="4"/>
        <v>197</v>
      </c>
      <c r="B208" s="41" t="s">
        <v>655</v>
      </c>
      <c r="C208" s="156" t="s">
        <v>509</v>
      </c>
      <c r="D208" s="42" t="s">
        <v>816</v>
      </c>
      <c r="E208" s="43" t="s">
        <v>650</v>
      </c>
      <c r="F208" s="190">
        <v>0</v>
      </c>
      <c r="G208" s="44"/>
      <c r="H208" s="44" t="s">
        <v>763</v>
      </c>
      <c r="I208" s="191"/>
      <c r="K208" s="190"/>
      <c r="M208" s="44"/>
      <c r="N208" s="43"/>
      <c r="O208" s="195"/>
      <c r="P208" s="195"/>
      <c r="Q208" s="195"/>
      <c r="R208" s="195"/>
      <c r="S208" s="195"/>
      <c r="T208" s="195"/>
      <c r="U208" s="195"/>
      <c r="V208" s="195"/>
      <c r="W208" s="195"/>
      <c r="X208" s="195"/>
      <c r="Y208" s="195"/>
      <c r="AA208" s="61"/>
      <c r="AB208" s="61"/>
    </row>
    <row r="209" spans="1:28" ht="47.25" outlineLevel="2" x14ac:dyDescent="0.25">
      <c r="A209" s="8">
        <f t="shared" si="4"/>
        <v>198</v>
      </c>
      <c r="B209" s="41" t="s">
        <v>655</v>
      </c>
      <c r="C209" s="56" t="s">
        <v>509</v>
      </c>
      <c r="D209" s="42" t="s">
        <v>817</v>
      </c>
      <c r="E209" s="43" t="s">
        <v>651</v>
      </c>
      <c r="F209" s="190">
        <v>0</v>
      </c>
      <c r="G209" s="44"/>
      <c r="H209" s="44" t="s">
        <v>763</v>
      </c>
      <c r="I209" s="191"/>
      <c r="K209" s="190"/>
      <c r="M209" s="44"/>
      <c r="N209" s="43"/>
      <c r="O209" s="195"/>
      <c r="P209" s="195"/>
      <c r="Q209" s="195"/>
      <c r="R209" s="195"/>
      <c r="S209" s="195"/>
      <c r="T209" s="195"/>
      <c r="U209" s="195"/>
      <c r="V209" s="195"/>
      <c r="W209" s="195"/>
      <c r="X209" s="195"/>
      <c r="Y209" s="195"/>
      <c r="AA209" s="61"/>
      <c r="AB209" s="61"/>
    </row>
    <row r="210" spans="1:28" ht="31.5" outlineLevel="2" x14ac:dyDescent="0.25">
      <c r="A210" s="8">
        <f t="shared" si="4"/>
        <v>199</v>
      </c>
      <c r="B210" s="41" t="s">
        <v>821</v>
      </c>
      <c r="C210" s="155" t="s">
        <v>265</v>
      </c>
      <c r="D210" s="42" t="s">
        <v>818</v>
      </c>
      <c r="E210" s="43" t="s">
        <v>266</v>
      </c>
      <c r="F210" s="190">
        <v>0</v>
      </c>
      <c r="G210" s="44"/>
      <c r="H210" s="44"/>
      <c r="I210" s="191"/>
      <c r="K210" s="190"/>
      <c r="M210" s="44"/>
      <c r="N210" s="43"/>
      <c r="O210" s="195"/>
      <c r="P210" s="195"/>
      <c r="Q210" s="195"/>
      <c r="R210" s="195"/>
      <c r="S210" s="195"/>
      <c r="T210" s="195"/>
      <c r="U210" s="195"/>
      <c r="V210" s="195"/>
      <c r="W210" s="195"/>
      <c r="X210" s="195"/>
      <c r="Y210" s="195"/>
      <c r="AA210" s="61"/>
      <c r="AB210" s="61"/>
    </row>
    <row r="211" spans="1:28" ht="31.5" outlineLevel="2" x14ac:dyDescent="0.25">
      <c r="A211" s="8">
        <f t="shared" si="4"/>
        <v>200</v>
      </c>
      <c r="B211" s="41" t="s">
        <v>821</v>
      </c>
      <c r="C211" s="57"/>
      <c r="D211" s="42" t="s">
        <v>819</v>
      </c>
      <c r="E211" s="43" t="s">
        <v>506</v>
      </c>
      <c r="F211" s="190">
        <v>0</v>
      </c>
      <c r="G211" s="44"/>
      <c r="H211" s="44"/>
      <c r="I211" s="191"/>
      <c r="K211" s="190"/>
      <c r="M211" s="44"/>
      <c r="N211" s="43"/>
      <c r="O211" s="195"/>
      <c r="P211" s="195"/>
      <c r="Q211" s="195"/>
      <c r="R211" s="195"/>
      <c r="S211" s="195"/>
      <c r="T211" s="195"/>
      <c r="U211" s="195"/>
      <c r="V211" s="195"/>
      <c r="W211" s="195"/>
      <c r="X211" s="195"/>
      <c r="Y211" s="195"/>
      <c r="AA211" s="61"/>
      <c r="AB211" s="61"/>
    </row>
    <row r="212" spans="1:28" ht="24" customHeight="1" x14ac:dyDescent="0.25">
      <c r="B212" s="62">
        <v>5</v>
      </c>
      <c r="C212" s="63" t="s">
        <v>16</v>
      </c>
      <c r="D212" s="64"/>
      <c r="E212" s="65"/>
      <c r="F212" s="66">
        <f>IFERROR(SUMIF(F213:F217,1,F213:F217)/SUM(COUNTIF(F213:F217,1),COUNTIF(F213:F217,0)),0)</f>
        <v>0.75</v>
      </c>
      <c r="G212" s="66"/>
      <c r="H212" s="66"/>
      <c r="I212" s="189"/>
      <c r="K212" s="66">
        <f>IFERROR(SUMIF(K213:K217,1,K213:K217)/SUM(COUNTIF(K213:K217,1),COUNTIF(K213:K217,0)),0)</f>
        <v>0</v>
      </c>
      <c r="M212" s="66">
        <f>IFERROR(SUMIF(M213:M217,1,M213:M217)/SUM(COUNTIF(M213:M217,1),COUNTIF(M213:M217,0)),0)</f>
        <v>0</v>
      </c>
      <c r="N212" s="66"/>
      <c r="O212" s="198"/>
      <c r="P212" s="198"/>
      <c r="Q212" s="198"/>
      <c r="R212" s="198"/>
      <c r="S212" s="198"/>
      <c r="T212" s="198"/>
      <c r="U212" s="198"/>
      <c r="V212" s="198"/>
      <c r="W212" s="198"/>
      <c r="X212" s="198"/>
      <c r="Y212" s="198"/>
      <c r="AA212" s="60">
        <v>0.05</v>
      </c>
      <c r="AB212" s="60">
        <f>+AA212/$AB$3</f>
        <v>0.1</v>
      </c>
    </row>
    <row r="213" spans="1:28" outlineLevel="1" x14ac:dyDescent="0.25">
      <c r="A213" s="8">
        <f>+A211+1</f>
        <v>201</v>
      </c>
      <c r="B213" s="55" t="s">
        <v>361</v>
      </c>
      <c r="C213" s="158" t="s">
        <v>27</v>
      </c>
      <c r="D213" s="318" t="s">
        <v>268</v>
      </c>
      <c r="E213" s="319" t="s">
        <v>28</v>
      </c>
      <c r="F213" s="190">
        <f>+GST!F63</f>
        <v>1</v>
      </c>
      <c r="G213" s="59"/>
      <c r="H213" s="59" t="s">
        <v>762</v>
      </c>
      <c r="I213" s="194"/>
      <c r="K213" s="190"/>
      <c r="M213" s="44"/>
      <c r="N213" s="58"/>
      <c r="O213" s="195"/>
      <c r="P213" s="195"/>
      <c r="Q213" s="195"/>
      <c r="R213" s="195"/>
      <c r="S213" s="195"/>
      <c r="T213" s="195"/>
      <c r="U213" s="195"/>
      <c r="V213" s="195"/>
      <c r="W213" s="195"/>
      <c r="X213" s="195"/>
      <c r="Y213" s="195"/>
      <c r="AA213" s="51"/>
    </row>
    <row r="214" spans="1:28" ht="31.5" outlineLevel="1" x14ac:dyDescent="0.25">
      <c r="A214" s="8">
        <f t="shared" ref="A214:A217" si="5">+A213+1</f>
        <v>202</v>
      </c>
      <c r="B214" s="41" t="s">
        <v>361</v>
      </c>
      <c r="C214" s="159" t="s">
        <v>27</v>
      </c>
      <c r="D214" s="316" t="s">
        <v>269</v>
      </c>
      <c r="E214" s="317" t="s">
        <v>930</v>
      </c>
      <c r="F214" s="190">
        <f>+GST!F62</f>
        <v>1</v>
      </c>
      <c r="G214" s="44"/>
      <c r="H214" s="44" t="s">
        <v>762</v>
      </c>
      <c r="I214" s="191"/>
      <c r="K214" s="190"/>
      <c r="M214" s="44"/>
      <c r="N214" s="43"/>
      <c r="O214" s="195"/>
      <c r="P214" s="195"/>
      <c r="Q214" s="195"/>
      <c r="R214" s="195"/>
      <c r="S214" s="195"/>
      <c r="T214" s="195"/>
      <c r="U214" s="195"/>
      <c r="V214" s="195"/>
      <c r="W214" s="195"/>
      <c r="X214" s="195"/>
      <c r="Y214" s="195"/>
      <c r="AA214" s="51"/>
    </row>
    <row r="215" spans="1:28" ht="31.5" outlineLevel="1" x14ac:dyDescent="0.25">
      <c r="A215" s="8">
        <f t="shared" si="5"/>
        <v>203</v>
      </c>
      <c r="B215" s="41" t="s">
        <v>361</v>
      </c>
      <c r="C215" s="156" t="s">
        <v>27</v>
      </c>
      <c r="D215" s="316" t="s">
        <v>270</v>
      </c>
      <c r="E215" s="317" t="s">
        <v>933</v>
      </c>
      <c r="F215" s="190">
        <f>+GST!F61</f>
        <v>0</v>
      </c>
      <c r="G215" s="44"/>
      <c r="H215" s="44" t="s">
        <v>762</v>
      </c>
      <c r="I215" s="191"/>
      <c r="K215" s="190"/>
      <c r="M215" s="44"/>
      <c r="N215" s="43"/>
      <c r="O215" s="195"/>
      <c r="P215" s="195"/>
      <c r="Q215" s="195"/>
      <c r="R215" s="195"/>
      <c r="S215" s="195"/>
      <c r="T215" s="195"/>
      <c r="U215" s="195"/>
      <c r="V215" s="195"/>
      <c r="W215" s="195"/>
      <c r="X215" s="195"/>
      <c r="Y215" s="195"/>
      <c r="AA215" s="51"/>
    </row>
    <row r="216" spans="1:28" ht="47.25" outlineLevel="1" x14ac:dyDescent="0.25">
      <c r="A216" s="8">
        <f t="shared" si="5"/>
        <v>204</v>
      </c>
      <c r="B216" s="41" t="s">
        <v>361</v>
      </c>
      <c r="C216" s="159" t="s">
        <v>27</v>
      </c>
      <c r="D216" s="316" t="s">
        <v>271</v>
      </c>
      <c r="E216" s="317" t="s">
        <v>934</v>
      </c>
      <c r="F216" s="190">
        <f>+GST!F60</f>
        <v>1</v>
      </c>
      <c r="G216" s="44"/>
      <c r="H216" s="44" t="s">
        <v>762</v>
      </c>
      <c r="I216" s="191"/>
      <c r="K216" s="190"/>
      <c r="M216" s="44"/>
      <c r="N216" s="43"/>
      <c r="O216" s="195"/>
      <c r="P216" s="195"/>
      <c r="Q216" s="195"/>
      <c r="R216" s="195"/>
      <c r="S216" s="195"/>
      <c r="T216" s="195"/>
      <c r="U216" s="195"/>
      <c r="V216" s="195"/>
      <c r="W216" s="195"/>
      <c r="X216" s="195"/>
      <c r="Y216" s="195"/>
      <c r="AA216" s="51"/>
    </row>
    <row r="217" spans="1:28" ht="31.5" outlineLevel="1" x14ac:dyDescent="0.25">
      <c r="A217" s="8">
        <f t="shared" si="5"/>
        <v>205</v>
      </c>
      <c r="B217" s="41" t="s">
        <v>361</v>
      </c>
      <c r="C217" s="56" t="s">
        <v>27</v>
      </c>
      <c r="D217" s="42" t="s">
        <v>931</v>
      </c>
      <c r="E217" s="315" t="s">
        <v>932</v>
      </c>
      <c r="F217" s="190" t="s">
        <v>142</v>
      </c>
      <c r="G217" s="44"/>
      <c r="H217" s="44"/>
      <c r="I217" s="191"/>
      <c r="K217" s="190" t="s">
        <v>142</v>
      </c>
      <c r="M217" s="44"/>
      <c r="N217" s="43"/>
      <c r="O217" s="195"/>
      <c r="P217" s="195"/>
      <c r="Q217" s="195"/>
      <c r="R217" s="195"/>
      <c r="S217" s="195"/>
      <c r="T217" s="195"/>
      <c r="U217" s="195"/>
      <c r="V217" s="195"/>
      <c r="W217" s="195"/>
      <c r="X217" s="195"/>
      <c r="Y217" s="195"/>
      <c r="AA217" s="51"/>
    </row>
  </sheetData>
  <sheetProtection autoFilter="0"/>
  <protectedRanges>
    <protectedRange sqref="K9:K17 F213:F217 F112:F185 F9:F63 F187:F211 F65:F110" name="Rango1"/>
  </protectedRanges>
  <autoFilter ref="A7:I217" xr:uid="{00000000-0009-0000-0000-000004000000}"/>
  <sortState xmlns:xlrd2="http://schemas.microsoft.com/office/spreadsheetml/2017/richdata2" ref="B25:G68">
    <sortCondition ref="B25:B68"/>
  </sortState>
  <mergeCells count="2">
    <mergeCell ref="AA5:AB5"/>
    <mergeCell ref="AA6:AB6"/>
  </mergeCells>
  <phoneticPr fontId="8" type="noConversion"/>
  <conditionalFormatting sqref="A1:A1048576">
    <cfRule type="duplicateValues" dxfId="176" priority="197"/>
  </conditionalFormatting>
  <conditionalFormatting sqref="F9:F63 K9:K63 M9:M63 K112:K185 K187:K211 M187:M211 F65:F110 F112:F185 F187:F211">
    <cfRule type="containsText" dxfId="175" priority="135" operator="containsText" text="1">
      <formula>NOT(ISERROR(SEARCH("1",F9)))</formula>
    </cfRule>
  </conditionalFormatting>
  <conditionalFormatting sqref="F9:F63 K9:K63 M9:M63 K112:K185 K187:K211 M187:M211">
    <cfRule type="containsText" dxfId="174" priority="122" operator="containsText" text="0">
      <formula>NOT(ISERROR(SEARCH("0",F9)))</formula>
    </cfRule>
  </conditionalFormatting>
  <conditionalFormatting sqref="F9:F63">
    <cfRule type="containsText" dxfId="173" priority="53" operator="containsText" text="NA - 0">
      <formula>NOT(ISERROR(SEARCH("NA - 0",F9)))</formula>
    </cfRule>
    <cfRule type="containsText" dxfId="172" priority="52" operator="containsText" text="NA - 1">
      <formula>NOT(ISERROR(SEARCH("NA - 1",F9)))</formula>
    </cfRule>
    <cfRule type="containsText" dxfId="171" priority="54" operator="containsText" text="N/A">
      <formula>NOT(ISERROR(SEARCH("N/A",F9)))</formula>
    </cfRule>
  </conditionalFormatting>
  <conditionalFormatting sqref="F65:F110">
    <cfRule type="containsText" dxfId="170" priority="51" operator="containsText" text="0">
      <formula>NOT(ISERROR(SEARCH("0",F65)))</formula>
    </cfRule>
    <cfRule type="containsText" dxfId="169" priority="50" operator="containsText" text="N/A">
      <formula>NOT(ISERROR(SEARCH("N/A",F65)))</formula>
    </cfRule>
    <cfRule type="containsText" dxfId="168" priority="49" operator="containsText" text="NA - 0">
      <formula>NOT(ISERROR(SEARCH("NA - 0",F65)))</formula>
    </cfRule>
    <cfRule type="containsText" dxfId="167" priority="48" operator="containsText" text="NA - 1">
      <formula>NOT(ISERROR(SEARCH("NA - 1",F65)))</formula>
    </cfRule>
  </conditionalFormatting>
  <conditionalFormatting sqref="F66">
    <cfRule type="containsText" dxfId="166" priority="23" operator="containsText" text="N/A">
      <formula>NOT(ISERROR(SEARCH("N/A",F66)))</formula>
    </cfRule>
    <cfRule type="containsText" dxfId="165" priority="24" operator="containsText" text="0">
      <formula>NOT(ISERROR(SEARCH("0",F66)))</formula>
    </cfRule>
    <cfRule type="containsText" dxfId="164" priority="21" operator="containsText" text="NA - 1">
      <formula>NOT(ISERROR(SEARCH("NA - 1",F66)))</formula>
    </cfRule>
    <cfRule type="containsText" dxfId="163" priority="22" operator="containsText" text="NA - 0">
      <formula>NOT(ISERROR(SEARCH("NA - 0",F66)))</formula>
    </cfRule>
  </conditionalFormatting>
  <conditionalFormatting sqref="F81:F82">
    <cfRule type="containsText" dxfId="162" priority="17" operator="containsText" text="NA - 1">
      <formula>NOT(ISERROR(SEARCH("NA - 1",F81)))</formula>
    </cfRule>
    <cfRule type="containsText" dxfId="161" priority="18" operator="containsText" text="NA - 0">
      <formula>NOT(ISERROR(SEARCH("NA - 0",F81)))</formula>
    </cfRule>
    <cfRule type="containsText" dxfId="160" priority="19" operator="containsText" text="N/A">
      <formula>NOT(ISERROR(SEARCH("N/A",F81)))</formula>
    </cfRule>
    <cfRule type="containsText" dxfId="159" priority="20" operator="containsText" text="0">
      <formula>NOT(ISERROR(SEARCH("0",F81)))</formula>
    </cfRule>
  </conditionalFormatting>
  <conditionalFormatting sqref="F85">
    <cfRule type="containsText" dxfId="158" priority="15" operator="containsText" text="N/A">
      <formula>NOT(ISERROR(SEARCH("N/A",F85)))</formula>
    </cfRule>
    <cfRule type="containsText" dxfId="157" priority="13" operator="containsText" text="NA - 1">
      <formula>NOT(ISERROR(SEARCH("NA - 1",F85)))</formula>
    </cfRule>
    <cfRule type="containsText" dxfId="156" priority="14" operator="containsText" text="NA - 0">
      <formula>NOT(ISERROR(SEARCH("NA - 0",F85)))</formula>
    </cfRule>
    <cfRule type="containsText" dxfId="155" priority="16" operator="containsText" text="0">
      <formula>NOT(ISERROR(SEARCH("0",F85)))</formula>
    </cfRule>
  </conditionalFormatting>
  <conditionalFormatting sqref="F112:F185">
    <cfRule type="containsText" dxfId="154" priority="43" operator="containsText" text="NA - 1">
      <formula>NOT(ISERROR(SEARCH("NA - 1",F112)))</formula>
    </cfRule>
    <cfRule type="containsText" dxfId="153" priority="44" operator="containsText" text="NA - 0">
      <formula>NOT(ISERROR(SEARCH("NA - 0",F112)))</formula>
    </cfRule>
    <cfRule type="containsText" dxfId="152" priority="45" operator="containsText" text="N/A">
      <formula>NOT(ISERROR(SEARCH("N/A",F112)))</formula>
    </cfRule>
    <cfRule type="containsText" dxfId="151" priority="46" operator="containsText" text="0">
      <formula>NOT(ISERROR(SEARCH("0",F112)))</formula>
    </cfRule>
  </conditionalFormatting>
  <conditionalFormatting sqref="F187:F190">
    <cfRule type="containsText" dxfId="150" priority="9" operator="containsText" text="NA - 1">
      <formula>NOT(ISERROR(SEARCH("NA - 1",F187)))</formula>
    </cfRule>
    <cfRule type="containsText" dxfId="149" priority="10" operator="containsText" text="NA - 0">
      <formula>NOT(ISERROR(SEARCH("NA - 0",F187)))</formula>
    </cfRule>
    <cfRule type="containsText" dxfId="148" priority="12" operator="containsText" text="0">
      <formula>NOT(ISERROR(SEARCH("0",F187)))</formula>
    </cfRule>
    <cfRule type="containsText" dxfId="147" priority="11" operator="containsText" text="N/A">
      <formula>NOT(ISERROR(SEARCH("N/A",F187)))</formula>
    </cfRule>
  </conditionalFormatting>
  <conditionalFormatting sqref="F187:F211">
    <cfRule type="containsText" dxfId="146" priority="38" operator="containsText" text="NA - 0">
      <formula>NOT(ISERROR(SEARCH("NA - 0",F187)))</formula>
    </cfRule>
    <cfRule type="containsText" dxfId="145" priority="39" operator="containsText" text="N/A">
      <formula>NOT(ISERROR(SEARCH("N/A",F187)))</formula>
    </cfRule>
    <cfRule type="containsText" dxfId="144" priority="40" operator="containsText" text="0">
      <formula>NOT(ISERROR(SEARCH("0",F187)))</formula>
    </cfRule>
    <cfRule type="containsText" dxfId="143" priority="37" operator="containsText" text="NA - 1">
      <formula>NOT(ISERROR(SEARCH("NA - 1",F187)))</formula>
    </cfRule>
  </conditionalFormatting>
  <conditionalFormatting sqref="F195:F206">
    <cfRule type="containsText" dxfId="142" priority="5" operator="containsText" text="NA - 1">
      <formula>NOT(ISERROR(SEARCH("NA - 1",F195)))</formula>
    </cfRule>
    <cfRule type="containsText" dxfId="141" priority="6" operator="containsText" text="NA - 0">
      <formula>NOT(ISERROR(SEARCH("NA - 0",F195)))</formula>
    </cfRule>
    <cfRule type="containsText" dxfId="140" priority="7" operator="containsText" text="N/A">
      <formula>NOT(ISERROR(SEARCH("N/A",F195)))</formula>
    </cfRule>
    <cfRule type="containsText" dxfId="139" priority="8" operator="containsText" text="0">
      <formula>NOT(ISERROR(SEARCH("0",F195)))</formula>
    </cfRule>
  </conditionalFormatting>
  <conditionalFormatting sqref="F208:F211">
    <cfRule type="containsText" dxfId="138" priority="2" operator="containsText" text="NA - 0">
      <formula>NOT(ISERROR(SEARCH("NA - 0",F208)))</formula>
    </cfRule>
    <cfRule type="containsText" dxfId="137" priority="3" operator="containsText" text="N/A">
      <formula>NOT(ISERROR(SEARCH("N/A",F208)))</formula>
    </cfRule>
    <cfRule type="containsText" dxfId="136" priority="4" operator="containsText" text="0">
      <formula>NOT(ISERROR(SEARCH("0",F208)))</formula>
    </cfRule>
    <cfRule type="containsText" dxfId="135" priority="1" operator="containsText" text="NA - 1">
      <formula>NOT(ISERROR(SEARCH("NA - 1",F208)))</formula>
    </cfRule>
  </conditionalFormatting>
  <conditionalFormatting sqref="F213:F217">
    <cfRule type="containsText" dxfId="134" priority="31" operator="containsText" text="N/A">
      <formula>NOT(ISERROR(SEARCH("N/A",F213)))</formula>
    </cfRule>
    <cfRule type="containsText" dxfId="133" priority="32" operator="containsText" text="0">
      <formula>NOT(ISERROR(SEARCH("0",F213)))</formula>
    </cfRule>
    <cfRule type="containsText" dxfId="132" priority="36" operator="containsText" text="1">
      <formula>NOT(ISERROR(SEARCH("1",F213)))</formula>
    </cfRule>
    <cfRule type="containsText" dxfId="131" priority="30" operator="containsText" text="NA - 0">
      <formula>NOT(ISERROR(SEARCH("NA - 0",F213)))</formula>
    </cfRule>
    <cfRule type="containsText" dxfId="130" priority="29" operator="containsText" text="NA - 1">
      <formula>NOT(ISERROR(SEARCH("NA - 1",F213)))</formula>
    </cfRule>
  </conditionalFormatting>
  <conditionalFormatting sqref="G91:H91 G148 G156:H156">
    <cfRule type="containsText" dxfId="129" priority="140" operator="containsText" text="1">
      <formula>NOT(ISERROR(SEARCH(("1"),(G91))))</formula>
    </cfRule>
  </conditionalFormatting>
  <conditionalFormatting sqref="G160:H163">
    <cfRule type="containsText" dxfId="128" priority="141" operator="containsText" text="1">
      <formula>NOT(ISERROR(SEARCH(("1"),(G160))))</formula>
    </cfRule>
  </conditionalFormatting>
  <conditionalFormatting sqref="H157:H159">
    <cfRule type="containsText" dxfId="127" priority="142" operator="containsText" text="1">
      <formula>NOT(ISERROR(SEARCH(("1"),(H157))))</formula>
    </cfRule>
  </conditionalFormatting>
  <conditionalFormatting sqref="K65:K110">
    <cfRule type="containsText" dxfId="126" priority="82" operator="containsText" text="0">
      <formula>NOT(ISERROR(SEARCH("0",K65)))</formula>
    </cfRule>
    <cfRule type="containsText" dxfId="125" priority="83" operator="containsText" text="1">
      <formula>NOT(ISERROR(SEARCH("1",K65)))</formula>
    </cfRule>
  </conditionalFormatting>
  <conditionalFormatting sqref="K213:K217">
    <cfRule type="containsText" dxfId="124" priority="80" operator="containsText" text="0">
      <formula>NOT(ISERROR(SEARCH("0",K213)))</formula>
    </cfRule>
    <cfRule type="containsText" dxfId="123" priority="81" operator="containsText" text="1">
      <formula>NOT(ISERROR(SEARCH("1",K213)))</formula>
    </cfRule>
  </conditionalFormatting>
  <conditionalFormatting sqref="M65:M110">
    <cfRule type="containsText" dxfId="122" priority="89" operator="containsText" text="1">
      <formula>NOT(ISERROR(SEARCH("1",M65)))</formula>
    </cfRule>
    <cfRule type="containsText" dxfId="121" priority="85" operator="containsText" text="0">
      <formula>NOT(ISERROR(SEARCH("0",M65)))</formula>
    </cfRule>
  </conditionalFormatting>
  <conditionalFormatting sqref="M112:M185">
    <cfRule type="containsText" dxfId="120" priority="27" operator="containsText" text="0">
      <formula>NOT(ISERROR(SEARCH("0",M112)))</formula>
    </cfRule>
    <cfRule type="containsText" dxfId="119" priority="28" operator="containsText" text="1">
      <formula>NOT(ISERROR(SEARCH("1",M112)))</formula>
    </cfRule>
  </conditionalFormatting>
  <conditionalFormatting sqref="M213:M217">
    <cfRule type="containsText" dxfId="118" priority="26" operator="containsText" text="1">
      <formula>NOT(ISERROR(SEARCH("1",M213)))</formula>
    </cfRule>
    <cfRule type="containsText" dxfId="117" priority="25" operator="containsText" text="0">
      <formula>NOT(ISERROR(SEARCH("0",M213)))</formula>
    </cfRule>
  </conditionalFormatting>
  <dataValidations count="3">
    <dataValidation type="decimal" allowBlank="1" showErrorMessage="1" sqref="M112:M185 M65:M110 M187:M211 M9:M63 M213:M217" xr:uid="{E5772ED0-1C04-4871-ADB4-64755B568C17}">
      <formula1>0</formula1>
      <formula2>1</formula2>
    </dataValidation>
    <dataValidation type="list" showErrorMessage="1" sqref="K9:K63 K213:K217 K187:K211 K112:K185 K65:K110" xr:uid="{768C63A3-9E9C-472C-9F93-0EFDB7C0A206}">
      <formula1>$AO$1:$AO$3</formula1>
    </dataValidation>
    <dataValidation type="list" showErrorMessage="1" sqref="F187:F211 F9:F63 F112:F185 F213:F217 F65:F110" xr:uid="{AE6ECA84-B8F5-4D3B-9EA7-8FE5EC212543}">
      <formula1>$AO$1:$AO$5</formula1>
    </dataValidation>
  </dataValidations>
  <pageMargins left="0.7" right="0.7" top="0.75" bottom="0.75" header="0.3" footer="0.3"/>
  <pageSetup paperSize="9" orientation="portrait" r:id="rId1"/>
  <ignoredErrors>
    <ignoredError sqref="L212" formulaRange="1"/>
    <ignoredError sqref="F4:H4 G5:H5 J3:L4 F3 H3 J5:L5" evalError="1"/>
    <ignoredError sqref="F150:F155" unlockedFormula="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5BD2B-834C-4DB0-9947-63C8F26E1DC9}">
  <sheetPr>
    <tabColor theme="6" tint="0.39997558519241921"/>
  </sheetPr>
  <dimension ref="A1:AO124"/>
  <sheetViews>
    <sheetView showGridLines="0" topLeftCell="A2" zoomScale="70" zoomScaleNormal="70" workbookViewId="0">
      <pane xSplit="2" ySplit="5" topLeftCell="C60" activePane="bottomRight" state="frozen"/>
      <selection activeCell="F7" sqref="F7"/>
      <selection pane="topRight" activeCell="F7" sqref="F7"/>
      <selection pane="bottomLeft" activeCell="F7" sqref="F7"/>
      <selection pane="bottomRight" activeCell="F7" sqref="F7"/>
    </sheetView>
  </sheetViews>
  <sheetFormatPr baseColWidth="10" defaultColWidth="11" defaultRowHeight="15.75" outlineLevelRow="1" x14ac:dyDescent="0.25"/>
  <cols>
    <col min="1" max="1" width="4.25" style="8" customWidth="1"/>
    <col min="2" max="2" width="8.125" style="19" customWidth="1"/>
    <col min="3" max="3" width="27.125" style="1" customWidth="1"/>
    <col min="4" max="4" width="8.625" style="9" customWidth="1"/>
    <col min="5" max="5" width="76.5" customWidth="1"/>
    <col min="6" max="6" width="9.875" style="1" customWidth="1"/>
    <col min="7" max="7" width="11" style="1" customWidth="1"/>
    <col min="8" max="8" width="6.75" style="1" bestFit="1" customWidth="1"/>
    <col min="9" max="9" width="42.375" style="1" customWidth="1"/>
    <col min="10" max="10" width="3.375" customWidth="1"/>
    <col min="11" max="11" width="8.875" style="1" customWidth="1"/>
    <col min="12" max="12" width="10.625" style="1" bestFit="1" customWidth="1"/>
    <col min="13" max="13" width="9.125" style="1" customWidth="1"/>
    <col min="14" max="14" width="28.625" style="1" customWidth="1"/>
    <col min="15" max="26" width="3.875" customWidth="1"/>
    <col min="27" max="27" width="10.5" customWidth="1"/>
    <col min="28" max="28" width="10.5" style="1" customWidth="1"/>
  </cols>
  <sheetData>
    <row r="1" spans="1:41" x14ac:dyDescent="0.25">
      <c r="AO1">
        <v>0</v>
      </c>
    </row>
    <row r="2" spans="1:41" ht="36" customHeight="1" x14ac:dyDescent="0.55000000000000004">
      <c r="B2" s="67"/>
      <c r="D2" s="67"/>
      <c r="F2" s="50" t="s">
        <v>853</v>
      </c>
      <c r="J2" s="1"/>
      <c r="K2" s="50" t="s">
        <v>854</v>
      </c>
      <c r="M2" s="50" t="str">
        <f>+M6</f>
        <v>EV24</v>
      </c>
      <c r="AO2">
        <v>1</v>
      </c>
    </row>
    <row r="3" spans="1:41" ht="21.75" customHeight="1" x14ac:dyDescent="0.5">
      <c r="B3" s="39"/>
      <c r="D3" s="39"/>
      <c r="E3" s="49" t="s">
        <v>858</v>
      </c>
      <c r="F3" s="52">
        <f>+F8*$AB$8+F35*$AB$35+F67*$AB$67+F96*$AB$96+F108*$AB$108+F111*$AB$111+F115*$AB$115</f>
        <v>0.56677350427350415</v>
      </c>
      <c r="K3" s="52">
        <f>+K8*$AB$8+K35*$AB$35+K67*$AB$67+K96*$AB$96+K108*$AB$108+K111*$AB$111+K115*$AB$115</f>
        <v>0</v>
      </c>
      <c r="M3" s="52">
        <f>+M8*$AB$8+M35*$AB$35+M67*$AB$67+M96*$AB$96+M108*$AB$108+M111*$AB$111+M115*$AB$115</f>
        <v>0</v>
      </c>
      <c r="AA3" s="53" t="s">
        <v>858</v>
      </c>
      <c r="AB3" s="54">
        <f>+AA8+AA35+AA67+AA96+AA108+AA111+AA115</f>
        <v>0.40000000000000008</v>
      </c>
      <c r="AO3" t="s">
        <v>142</v>
      </c>
    </row>
    <row r="4" spans="1:41" ht="21.75" customHeight="1" x14ac:dyDescent="0.7">
      <c r="B4" s="40"/>
      <c r="E4" s="49" t="s">
        <v>860</v>
      </c>
      <c r="F4" s="52">
        <f>+F8*$AA$8+F35*$AA$35+F67*$AA$67+F96*$AA$96+F108*$AA$108+F111*$AA$111+F115*$AA$115</f>
        <v>0.22670940170940171</v>
      </c>
      <c r="G4" s="154"/>
      <c r="K4" s="52">
        <f>+K8*$AA$8+K35*$AA$35+K67*$AA$67+K96*$AA$96+K108*$AA$108+K111*$AA$111+K115*$AA$115</f>
        <v>0</v>
      </c>
      <c r="M4" s="52">
        <f>+M8*$AA$8+M35*$AA$35+M67*$AA$67+M96*$AA$96+M108*$AA$108+M111*$AA$111+M115*$AA$115</f>
        <v>0</v>
      </c>
      <c r="AO4" t="s">
        <v>1229</v>
      </c>
    </row>
    <row r="5" spans="1:41" ht="36" x14ac:dyDescent="0.55000000000000004">
      <c r="B5" s="67" t="s">
        <v>896</v>
      </c>
      <c r="L5"/>
      <c r="AA5" s="411" t="s">
        <v>856</v>
      </c>
      <c r="AB5" s="412"/>
      <c r="AO5" t="s">
        <v>1230</v>
      </c>
    </row>
    <row r="6" spans="1:41" ht="18.75" x14ac:dyDescent="0.25">
      <c r="B6" s="49" t="s">
        <v>4</v>
      </c>
      <c r="C6" s="49" t="s">
        <v>153</v>
      </c>
      <c r="D6" s="49"/>
      <c r="E6" s="49" t="s">
        <v>118</v>
      </c>
      <c r="F6" s="50" t="s">
        <v>853</v>
      </c>
      <c r="G6" s="49" t="s">
        <v>743</v>
      </c>
      <c r="H6" s="49" t="s">
        <v>761</v>
      </c>
      <c r="I6" s="49" t="s">
        <v>514</v>
      </c>
      <c r="K6" s="50" t="s">
        <v>952</v>
      </c>
      <c r="L6"/>
      <c r="M6" s="50" t="s">
        <v>841</v>
      </c>
      <c r="N6" s="49" t="s">
        <v>855</v>
      </c>
      <c r="AA6" s="53" t="s">
        <v>859</v>
      </c>
      <c r="AB6" s="53" t="s">
        <v>857</v>
      </c>
    </row>
    <row r="7" spans="1:41" ht="8.25" customHeight="1" x14ac:dyDescent="0.25">
      <c r="L7"/>
    </row>
    <row r="8" spans="1:41" ht="24.95" customHeight="1" x14ac:dyDescent="0.25">
      <c r="B8" s="62">
        <v>6</v>
      </c>
      <c r="C8" s="63" t="s">
        <v>378</v>
      </c>
      <c r="D8" s="64"/>
      <c r="E8" s="65"/>
      <c r="F8" s="66">
        <f>IFERROR(SUMIF(F9:F34,1,F9:F34)/SUM(COUNTIF(F9:F34,1),COUNTIF(F9:F34,0)),0)</f>
        <v>0.96153846153846156</v>
      </c>
      <c r="G8" s="66"/>
      <c r="H8" s="66"/>
      <c r="I8" s="66"/>
      <c r="K8" s="66">
        <f>IFERROR(SUMIF(K9:K34,1,K9:K34)/SUM(COUNTIF(K9:K34,1),COUNTIF(K9:K34,0)),0)</f>
        <v>0</v>
      </c>
      <c r="L8"/>
      <c r="M8" s="66">
        <f>IFERROR(SUMIF(M9:M34,1,M9:M34)/SUM(COUNTIF(M9:M34,1),COUNTIF(M9:M34,0)),0)</f>
        <v>0</v>
      </c>
      <c r="N8" s="66"/>
      <c r="AA8" s="60">
        <v>0.1</v>
      </c>
      <c r="AB8" s="60">
        <f>+AA8/$AB$3</f>
        <v>0.24999999999999997</v>
      </c>
    </row>
    <row r="9" spans="1:41" ht="47.25" outlineLevel="1" x14ac:dyDescent="0.25">
      <c r="A9" s="8">
        <f>+Operacional!A217+1</f>
        <v>206</v>
      </c>
      <c r="B9" s="41" t="s">
        <v>364</v>
      </c>
      <c r="C9" s="155" t="s">
        <v>657</v>
      </c>
      <c r="D9" s="316" t="s">
        <v>125</v>
      </c>
      <c r="E9" s="317" t="s">
        <v>432</v>
      </c>
      <c r="F9" s="190">
        <f>+PLG!F9</f>
        <v>1</v>
      </c>
      <c r="G9" s="68"/>
      <c r="H9" s="68"/>
      <c r="I9" s="69"/>
      <c r="K9" s="190" t="s">
        <v>142</v>
      </c>
      <c r="L9"/>
      <c r="M9" s="44"/>
      <c r="N9" s="69"/>
      <c r="AA9" s="61"/>
      <c r="AB9" s="61"/>
    </row>
    <row r="10" spans="1:41" outlineLevel="1" x14ac:dyDescent="0.25">
      <c r="A10" s="8">
        <f>A9+1</f>
        <v>207</v>
      </c>
      <c r="B10" s="41" t="s">
        <v>364</v>
      </c>
      <c r="C10" s="56" t="s">
        <v>657</v>
      </c>
      <c r="D10" s="316" t="s">
        <v>126</v>
      </c>
      <c r="E10" s="317" t="s">
        <v>299</v>
      </c>
      <c r="F10" s="190">
        <f>+PLG!F10</f>
        <v>1</v>
      </c>
      <c r="G10" s="68"/>
      <c r="H10" s="68"/>
      <c r="I10" s="69"/>
      <c r="K10" s="190" t="s">
        <v>142</v>
      </c>
      <c r="L10"/>
      <c r="M10" s="44"/>
      <c r="N10" s="69"/>
      <c r="AA10" s="61"/>
      <c r="AB10" s="61"/>
    </row>
    <row r="11" spans="1:41" outlineLevel="1" x14ac:dyDescent="0.25">
      <c r="A11" s="8">
        <f t="shared" ref="A11:A34" si="0">A10+1</f>
        <v>208</v>
      </c>
      <c r="B11" s="41" t="s">
        <v>365</v>
      </c>
      <c r="C11" s="42" t="s">
        <v>284</v>
      </c>
      <c r="D11" s="316" t="s">
        <v>127</v>
      </c>
      <c r="E11" s="317" t="s">
        <v>433</v>
      </c>
      <c r="F11" s="190">
        <f>+PLG!F11</f>
        <v>1</v>
      </c>
      <c r="G11" s="68"/>
      <c r="H11" s="68"/>
      <c r="I11" s="69"/>
      <c r="K11" s="190"/>
      <c r="L11"/>
      <c r="M11" s="44"/>
      <c r="N11" s="69"/>
      <c r="AA11" s="61"/>
      <c r="AB11" s="61"/>
    </row>
    <row r="12" spans="1:41" ht="31.5" outlineLevel="1" x14ac:dyDescent="0.25">
      <c r="A12" s="8">
        <f t="shared" si="0"/>
        <v>209</v>
      </c>
      <c r="B12" s="41" t="s">
        <v>366</v>
      </c>
      <c r="C12" s="42" t="s">
        <v>273</v>
      </c>
      <c r="D12" s="316" t="s">
        <v>128</v>
      </c>
      <c r="E12" s="317" t="s">
        <v>434</v>
      </c>
      <c r="F12" s="190">
        <f>+PLG!F16</f>
        <v>1</v>
      </c>
      <c r="G12" s="68"/>
      <c r="H12" s="68"/>
      <c r="I12" s="69"/>
      <c r="K12" s="190"/>
      <c r="L12"/>
      <c r="M12" s="44"/>
      <c r="N12" s="69"/>
      <c r="AA12" s="61"/>
      <c r="AB12" s="61"/>
    </row>
    <row r="13" spans="1:41" ht="31.5" outlineLevel="1" x14ac:dyDescent="0.25">
      <c r="A13" s="8">
        <f t="shared" si="0"/>
        <v>210</v>
      </c>
      <c r="B13" s="41" t="s">
        <v>367</v>
      </c>
      <c r="C13" s="155" t="s">
        <v>510</v>
      </c>
      <c r="D13" s="316" t="s">
        <v>129</v>
      </c>
      <c r="E13" s="317" t="s">
        <v>435</v>
      </c>
      <c r="F13" s="190">
        <f>+PLG!F19</f>
        <v>0</v>
      </c>
      <c r="G13" s="68"/>
      <c r="H13" s="68"/>
      <c r="I13" s="69"/>
      <c r="K13" s="190"/>
      <c r="L13"/>
      <c r="M13" s="44"/>
      <c r="N13" s="69"/>
      <c r="AA13" s="61"/>
      <c r="AB13" s="61"/>
    </row>
    <row r="14" spans="1:41" outlineLevel="1" x14ac:dyDescent="0.25">
      <c r="A14" s="8">
        <f t="shared" si="0"/>
        <v>211</v>
      </c>
      <c r="B14" s="41" t="s">
        <v>367</v>
      </c>
      <c r="C14" s="56" t="s">
        <v>510</v>
      </c>
      <c r="D14" s="316" t="s">
        <v>130</v>
      </c>
      <c r="E14" s="317" t="s">
        <v>436</v>
      </c>
      <c r="F14" s="190">
        <f>+PLG!F20</f>
        <v>1</v>
      </c>
      <c r="G14" s="68"/>
      <c r="H14" s="68"/>
      <c r="I14" s="69"/>
      <c r="K14" s="190"/>
      <c r="L14"/>
      <c r="M14" s="44"/>
      <c r="N14" s="69"/>
      <c r="AA14" s="61"/>
      <c r="AB14" s="61"/>
    </row>
    <row r="15" spans="1:41" outlineLevel="1" x14ac:dyDescent="0.25">
      <c r="A15" s="8">
        <f t="shared" si="0"/>
        <v>212</v>
      </c>
      <c r="B15" s="41" t="s">
        <v>368</v>
      </c>
      <c r="C15" s="158" t="s">
        <v>511</v>
      </c>
      <c r="D15" s="316" t="s">
        <v>131</v>
      </c>
      <c r="E15" s="317" t="s">
        <v>290</v>
      </c>
      <c r="F15" s="190">
        <f>+PLG!F21</f>
        <v>1</v>
      </c>
      <c r="G15" s="68"/>
      <c r="H15" s="68"/>
      <c r="I15" s="69"/>
      <c r="K15" s="190"/>
      <c r="L15"/>
      <c r="M15" s="44"/>
      <c r="N15" s="69"/>
      <c r="AA15" s="61"/>
      <c r="AB15" s="61"/>
    </row>
    <row r="16" spans="1:41" ht="33.950000000000003" customHeight="1" outlineLevel="1" x14ac:dyDescent="0.25">
      <c r="A16" s="8">
        <f t="shared" si="0"/>
        <v>213</v>
      </c>
      <c r="B16" s="41" t="s">
        <v>368</v>
      </c>
      <c r="C16" s="156" t="s">
        <v>511</v>
      </c>
      <c r="D16" s="316" t="s">
        <v>132</v>
      </c>
      <c r="E16" s="317" t="s">
        <v>291</v>
      </c>
      <c r="F16" s="190">
        <f>+PLG!F22</f>
        <v>1</v>
      </c>
      <c r="G16" s="68"/>
      <c r="H16" s="68"/>
      <c r="I16" s="69"/>
      <c r="K16" s="190"/>
      <c r="L16"/>
      <c r="M16" s="44"/>
      <c r="N16" s="69"/>
      <c r="AA16" s="61"/>
      <c r="AB16" s="61"/>
    </row>
    <row r="17" spans="1:28" outlineLevel="1" x14ac:dyDescent="0.25">
      <c r="A17" s="8">
        <f t="shared" si="0"/>
        <v>214</v>
      </c>
      <c r="B17" s="41" t="s">
        <v>368</v>
      </c>
      <c r="C17" s="159" t="s">
        <v>511</v>
      </c>
      <c r="D17" s="316" t="s">
        <v>133</v>
      </c>
      <c r="E17" s="317" t="s">
        <v>437</v>
      </c>
      <c r="F17" s="190">
        <f>+PLG!F23</f>
        <v>1</v>
      </c>
      <c r="G17" s="68"/>
      <c r="H17" s="68"/>
      <c r="I17" s="69"/>
      <c r="K17" s="190"/>
      <c r="L17"/>
      <c r="M17" s="44"/>
      <c r="N17" s="69"/>
      <c r="AA17" s="61"/>
      <c r="AB17" s="61"/>
    </row>
    <row r="18" spans="1:28" ht="33.950000000000003" customHeight="1" outlineLevel="1" x14ac:dyDescent="0.25">
      <c r="A18" s="8">
        <f t="shared" si="0"/>
        <v>215</v>
      </c>
      <c r="B18" s="41" t="s">
        <v>368</v>
      </c>
      <c r="C18" s="56" t="s">
        <v>511</v>
      </c>
      <c r="D18" s="42" t="s">
        <v>134</v>
      </c>
      <c r="E18" s="43" t="s">
        <v>293</v>
      </c>
      <c r="F18" s="190">
        <v>1</v>
      </c>
      <c r="G18" s="68"/>
      <c r="H18" s="68"/>
      <c r="I18" s="69"/>
      <c r="K18" s="190"/>
      <c r="L18"/>
      <c r="M18" s="44"/>
      <c r="N18" s="69"/>
      <c r="AA18" s="61"/>
      <c r="AB18" s="61"/>
    </row>
    <row r="19" spans="1:28" outlineLevel="1" x14ac:dyDescent="0.25">
      <c r="A19" s="8">
        <f t="shared" si="0"/>
        <v>216</v>
      </c>
      <c r="B19" s="41" t="s">
        <v>369</v>
      </c>
      <c r="C19" s="158" t="s">
        <v>274</v>
      </c>
      <c r="D19" s="316" t="s">
        <v>135</v>
      </c>
      <c r="E19" s="317" t="s">
        <v>294</v>
      </c>
      <c r="F19" s="190">
        <f>+PLG!F24</f>
        <v>1</v>
      </c>
      <c r="G19" s="68"/>
      <c r="H19" s="68"/>
      <c r="I19" s="69"/>
      <c r="K19" s="190"/>
      <c r="L19"/>
      <c r="M19" s="44"/>
      <c r="N19" s="69"/>
      <c r="AA19" s="61"/>
      <c r="AB19" s="61"/>
    </row>
    <row r="20" spans="1:28" outlineLevel="1" x14ac:dyDescent="0.25">
      <c r="A20" s="8">
        <f t="shared" si="0"/>
        <v>217</v>
      </c>
      <c r="B20" s="41" t="s">
        <v>369</v>
      </c>
      <c r="C20" s="156" t="s">
        <v>274</v>
      </c>
      <c r="D20" s="316" t="s">
        <v>136</v>
      </c>
      <c r="E20" s="317" t="s">
        <v>295</v>
      </c>
      <c r="F20" s="190">
        <f>+PLG!F25</f>
        <v>1</v>
      </c>
      <c r="G20" s="68"/>
      <c r="H20" s="68"/>
      <c r="I20" s="69"/>
      <c r="K20" s="190"/>
      <c r="L20"/>
      <c r="M20" s="44"/>
      <c r="N20" s="69"/>
      <c r="AA20" s="61"/>
      <c r="AB20" s="61"/>
    </row>
    <row r="21" spans="1:28" outlineLevel="1" x14ac:dyDescent="0.25">
      <c r="A21" s="8">
        <f t="shared" si="0"/>
        <v>218</v>
      </c>
      <c r="B21" s="41" t="s">
        <v>369</v>
      </c>
      <c r="C21" s="56" t="s">
        <v>274</v>
      </c>
      <c r="D21" s="316" t="s">
        <v>137</v>
      </c>
      <c r="E21" s="317" t="s">
        <v>438</v>
      </c>
      <c r="F21" s="190">
        <f>+PLG!F26</f>
        <v>1</v>
      </c>
      <c r="G21" s="68"/>
      <c r="H21" s="68"/>
      <c r="I21" s="69"/>
      <c r="K21" s="190"/>
      <c r="L21"/>
      <c r="M21" s="44"/>
      <c r="N21" s="69"/>
      <c r="AA21" s="61"/>
      <c r="AB21" s="61"/>
    </row>
    <row r="22" spans="1:28" outlineLevel="1" x14ac:dyDescent="0.25">
      <c r="A22" s="8">
        <f t="shared" si="0"/>
        <v>219</v>
      </c>
      <c r="B22" s="41" t="s">
        <v>370</v>
      </c>
      <c r="C22" s="158" t="s">
        <v>287</v>
      </c>
      <c r="D22" s="316" t="s">
        <v>304</v>
      </c>
      <c r="E22" s="317" t="s">
        <v>300</v>
      </c>
      <c r="F22" s="190">
        <f>+PLG!F32</f>
        <v>1</v>
      </c>
      <c r="G22" s="70" t="s">
        <v>754</v>
      </c>
      <c r="H22" s="70"/>
      <c r="I22" s="69"/>
      <c r="K22" s="190"/>
      <c r="L22"/>
      <c r="M22" s="44"/>
      <c r="N22" s="69"/>
      <c r="AA22" s="61"/>
      <c r="AB22" s="61"/>
    </row>
    <row r="23" spans="1:28" ht="31.5" outlineLevel="1" x14ac:dyDescent="0.25">
      <c r="A23" s="8">
        <f t="shared" si="0"/>
        <v>220</v>
      </c>
      <c r="B23" s="41" t="s">
        <v>370</v>
      </c>
      <c r="C23" s="156" t="s">
        <v>287</v>
      </c>
      <c r="D23" s="316" t="s">
        <v>305</v>
      </c>
      <c r="E23" s="317" t="s">
        <v>439</v>
      </c>
      <c r="F23" s="190">
        <f>+PLG!F33</f>
        <v>1</v>
      </c>
      <c r="G23" s="70" t="s">
        <v>754</v>
      </c>
      <c r="H23" s="70"/>
      <c r="I23" s="69"/>
      <c r="K23" s="190"/>
      <c r="L23"/>
      <c r="M23" s="44"/>
      <c r="N23" s="69"/>
      <c r="AA23" s="61"/>
      <c r="AB23" s="61"/>
    </row>
    <row r="24" spans="1:28" ht="31.5" outlineLevel="1" x14ac:dyDescent="0.25">
      <c r="A24" s="8">
        <f t="shared" si="0"/>
        <v>221</v>
      </c>
      <c r="B24" s="41" t="s">
        <v>370</v>
      </c>
      <c r="C24" s="56" t="s">
        <v>287</v>
      </c>
      <c r="D24" s="316" t="s">
        <v>306</v>
      </c>
      <c r="E24" s="317" t="s">
        <v>935</v>
      </c>
      <c r="F24" s="190">
        <f>+PLG!F34</f>
        <v>1</v>
      </c>
      <c r="G24" s="70" t="s">
        <v>754</v>
      </c>
      <c r="H24" s="70"/>
      <c r="I24" s="69"/>
      <c r="K24" s="190"/>
      <c r="L24"/>
      <c r="M24" s="44"/>
      <c r="N24" s="69"/>
      <c r="AA24" s="61"/>
      <c r="AB24" s="61"/>
    </row>
    <row r="25" spans="1:28" outlineLevel="1" x14ac:dyDescent="0.25">
      <c r="A25" s="8">
        <f t="shared" si="0"/>
        <v>222</v>
      </c>
      <c r="B25" s="41" t="s">
        <v>371</v>
      </c>
      <c r="C25" s="167" t="s">
        <v>512</v>
      </c>
      <c r="D25" s="316" t="s">
        <v>307</v>
      </c>
      <c r="E25" s="317" t="s">
        <v>297</v>
      </c>
      <c r="F25" s="190">
        <f>+PLG!F39</f>
        <v>1</v>
      </c>
      <c r="G25" s="68"/>
      <c r="H25" s="68"/>
      <c r="I25" s="69"/>
      <c r="K25" s="190"/>
      <c r="L25"/>
      <c r="M25" s="44"/>
      <c r="N25" s="69"/>
      <c r="AA25" s="61"/>
      <c r="AB25" s="61"/>
    </row>
    <row r="26" spans="1:28" outlineLevel="1" x14ac:dyDescent="0.25">
      <c r="A26" s="8">
        <f t="shared" si="0"/>
        <v>223</v>
      </c>
      <c r="B26" s="41" t="s">
        <v>372</v>
      </c>
      <c r="C26" s="156" t="s">
        <v>276</v>
      </c>
      <c r="D26" s="320" t="s">
        <v>308</v>
      </c>
      <c r="E26" s="317" t="s">
        <v>440</v>
      </c>
      <c r="F26" s="190">
        <f>+PLG!F43</f>
        <v>1</v>
      </c>
      <c r="G26" s="68"/>
      <c r="H26" s="68"/>
      <c r="I26" s="43"/>
      <c r="K26" s="190"/>
      <c r="L26"/>
      <c r="M26" s="44"/>
      <c r="N26" s="69"/>
      <c r="AA26" s="61"/>
      <c r="AB26" s="61"/>
    </row>
    <row r="27" spans="1:28" outlineLevel="1" x14ac:dyDescent="0.25">
      <c r="A27" s="8">
        <f t="shared" si="0"/>
        <v>224</v>
      </c>
      <c r="B27" s="41" t="s">
        <v>372</v>
      </c>
      <c r="C27" s="56" t="s">
        <v>276</v>
      </c>
      <c r="D27" s="320" t="s">
        <v>309</v>
      </c>
      <c r="E27" s="317" t="s">
        <v>768</v>
      </c>
      <c r="F27" s="190">
        <f>+PLG!F41</f>
        <v>1</v>
      </c>
      <c r="G27" s="68"/>
      <c r="H27" s="68"/>
      <c r="I27" s="43"/>
      <c r="K27" s="190"/>
      <c r="L27"/>
      <c r="M27" s="44"/>
      <c r="N27" s="69"/>
      <c r="AA27" s="61"/>
      <c r="AB27" s="61"/>
    </row>
    <row r="28" spans="1:28" ht="31.5" outlineLevel="1" x14ac:dyDescent="0.25">
      <c r="A28" s="8">
        <f t="shared" si="0"/>
        <v>225</v>
      </c>
      <c r="B28" s="41" t="s">
        <v>373</v>
      </c>
      <c r="C28" s="158" t="s">
        <v>275</v>
      </c>
      <c r="D28" s="316" t="s">
        <v>310</v>
      </c>
      <c r="E28" s="317" t="s">
        <v>441</v>
      </c>
      <c r="F28" s="190">
        <f>+PLG!F44</f>
        <v>1</v>
      </c>
      <c r="G28" s="71"/>
      <c r="H28" s="68"/>
      <c r="I28" s="69"/>
      <c r="K28" s="190"/>
      <c r="L28"/>
      <c r="M28" s="44"/>
      <c r="N28" s="69"/>
      <c r="AA28" s="61"/>
      <c r="AB28" s="61"/>
    </row>
    <row r="29" spans="1:28" outlineLevel="1" x14ac:dyDescent="0.25">
      <c r="A29" s="8">
        <f t="shared" si="0"/>
        <v>226</v>
      </c>
      <c r="B29" s="41" t="s">
        <v>373</v>
      </c>
      <c r="C29" s="156" t="s">
        <v>275</v>
      </c>
      <c r="D29" s="316" t="s">
        <v>311</v>
      </c>
      <c r="E29" s="317" t="s">
        <v>296</v>
      </c>
      <c r="F29" s="190">
        <f>+PLG!F46</f>
        <v>1</v>
      </c>
      <c r="G29" s="71"/>
      <c r="H29" s="68"/>
      <c r="I29" s="69"/>
      <c r="K29" s="190"/>
      <c r="L29"/>
      <c r="M29" s="44"/>
      <c r="N29" s="69"/>
      <c r="AA29" s="61"/>
      <c r="AB29" s="61"/>
    </row>
    <row r="30" spans="1:28" outlineLevel="1" x14ac:dyDescent="0.25">
      <c r="A30" s="8">
        <f t="shared" si="0"/>
        <v>227</v>
      </c>
      <c r="B30" s="41" t="s">
        <v>373</v>
      </c>
      <c r="C30" s="56" t="s">
        <v>275</v>
      </c>
      <c r="D30" s="316" t="s">
        <v>656</v>
      </c>
      <c r="E30" s="317" t="s">
        <v>767</v>
      </c>
      <c r="F30" s="190">
        <f>+PLG!F45</f>
        <v>1</v>
      </c>
      <c r="G30" s="71"/>
      <c r="H30" s="68"/>
      <c r="I30" s="69"/>
      <c r="K30" s="190"/>
      <c r="L30"/>
      <c r="M30" s="44"/>
      <c r="N30" s="69"/>
      <c r="AA30" s="61"/>
      <c r="AB30" s="61"/>
    </row>
    <row r="31" spans="1:28" outlineLevel="1" x14ac:dyDescent="0.25">
      <c r="A31" s="8">
        <f t="shared" si="0"/>
        <v>228</v>
      </c>
      <c r="B31" s="41" t="s">
        <v>374</v>
      </c>
      <c r="C31" s="42" t="s">
        <v>277</v>
      </c>
      <c r="D31" s="316" t="s">
        <v>312</v>
      </c>
      <c r="E31" s="317" t="s">
        <v>298</v>
      </c>
      <c r="F31" s="190">
        <f>+PLG!F49</f>
        <v>1</v>
      </c>
      <c r="G31" s="71"/>
      <c r="H31" s="68"/>
      <c r="I31" s="69"/>
      <c r="K31" s="190"/>
      <c r="L31"/>
      <c r="M31" s="44"/>
      <c r="N31" s="69"/>
      <c r="AA31" s="61"/>
      <c r="AB31" s="61"/>
    </row>
    <row r="32" spans="1:28" ht="47.25" outlineLevel="1" x14ac:dyDescent="0.25">
      <c r="A32" s="8">
        <f t="shared" si="0"/>
        <v>229</v>
      </c>
      <c r="B32" s="41" t="s">
        <v>375</v>
      </c>
      <c r="C32" s="168" t="s">
        <v>278</v>
      </c>
      <c r="D32" s="316" t="s">
        <v>313</v>
      </c>
      <c r="E32" s="317" t="s">
        <v>442</v>
      </c>
      <c r="F32" s="190">
        <f>+PLG!F50</f>
        <v>1</v>
      </c>
      <c r="G32" s="68"/>
      <c r="H32" s="68"/>
      <c r="I32" s="69"/>
      <c r="K32" s="190"/>
      <c r="L32"/>
      <c r="M32" s="44"/>
      <c r="N32" s="69"/>
      <c r="AA32" s="61"/>
      <c r="AB32" s="61"/>
    </row>
    <row r="33" spans="1:28" outlineLevel="1" x14ac:dyDescent="0.25">
      <c r="A33" s="8">
        <f t="shared" si="0"/>
        <v>230</v>
      </c>
      <c r="B33" s="41" t="s">
        <v>375</v>
      </c>
      <c r="C33" s="159" t="s">
        <v>278</v>
      </c>
      <c r="D33" s="316" t="s">
        <v>829</v>
      </c>
      <c r="E33" s="317" t="s">
        <v>443</v>
      </c>
      <c r="F33" s="190">
        <f>+PLG!F51</f>
        <v>1</v>
      </c>
      <c r="G33" s="68"/>
      <c r="H33" s="68"/>
      <c r="I33" s="69"/>
      <c r="K33" s="190"/>
      <c r="L33"/>
      <c r="M33" s="44"/>
      <c r="N33" s="69"/>
      <c r="AA33" s="61"/>
      <c r="AB33" s="61"/>
    </row>
    <row r="34" spans="1:28" outlineLevel="1" x14ac:dyDescent="0.25">
      <c r="A34" s="8">
        <f t="shared" si="0"/>
        <v>231</v>
      </c>
      <c r="B34" s="41" t="s">
        <v>376</v>
      </c>
      <c r="C34" s="42" t="s">
        <v>280</v>
      </c>
      <c r="D34" s="316" t="s">
        <v>314</v>
      </c>
      <c r="E34" s="317" t="s">
        <v>769</v>
      </c>
      <c r="F34" s="190">
        <f>+PLG!F57</f>
        <v>1</v>
      </c>
      <c r="G34" s="68"/>
      <c r="H34" s="68"/>
      <c r="I34" s="69"/>
      <c r="K34" s="190"/>
      <c r="L34"/>
      <c r="M34" s="44"/>
      <c r="N34" s="69"/>
      <c r="AA34" s="61"/>
      <c r="AB34" s="61"/>
    </row>
    <row r="35" spans="1:28" ht="24.95" customHeight="1" x14ac:dyDescent="0.25">
      <c r="B35" s="62">
        <v>7</v>
      </c>
      <c r="C35" s="63" t="s">
        <v>386</v>
      </c>
      <c r="D35" s="64"/>
      <c r="E35" s="65"/>
      <c r="F35" s="66">
        <f>IFERROR(SUMIF(F36:F66,1,F36:F66)/SUM(COUNTIF(F36:F66,1),COUNTIF(F36:F66,0)),0)</f>
        <v>0.91666666666666663</v>
      </c>
      <c r="G35" s="66"/>
      <c r="H35" s="66"/>
      <c r="I35" s="66"/>
      <c r="K35" s="66">
        <f>IFERROR(SUMIF(K36:K66,1,K36:K66)/SUM(COUNTIF(K36:K66,1),COUNTIF(K36:K66,0)),0)</f>
        <v>0</v>
      </c>
      <c r="L35"/>
      <c r="M35" s="66">
        <f>IFERROR(SUMIF(M36:M66,1,M36:M66)/SUM(COUNTIF(M36:M66,1),COUNTIF(M36:M66,0)),0)</f>
        <v>0</v>
      </c>
      <c r="N35" s="66"/>
      <c r="AA35" s="60">
        <v>0.1</v>
      </c>
      <c r="AB35" s="60">
        <f>+AA35/$AB$3</f>
        <v>0.24999999999999997</v>
      </c>
    </row>
    <row r="36" spans="1:28" outlineLevel="1" x14ac:dyDescent="0.25">
      <c r="A36" s="8">
        <f>A34+1</f>
        <v>232</v>
      </c>
      <c r="B36" s="41" t="s">
        <v>76</v>
      </c>
      <c r="C36" s="42" t="s">
        <v>413</v>
      </c>
      <c r="D36" s="316" t="s">
        <v>377</v>
      </c>
      <c r="E36" s="317" t="s">
        <v>92</v>
      </c>
      <c r="F36" s="190">
        <f>+IDP!F30</f>
        <v>1</v>
      </c>
      <c r="G36" s="68"/>
      <c r="H36" s="68"/>
      <c r="I36" s="69"/>
      <c r="K36" s="190"/>
      <c r="L36"/>
      <c r="M36" s="44"/>
      <c r="N36" s="69"/>
      <c r="AA36" s="61"/>
      <c r="AB36" s="61"/>
    </row>
    <row r="37" spans="1:28" ht="31.5" outlineLevel="1" x14ac:dyDescent="0.25">
      <c r="A37" s="8">
        <f t="shared" ref="A37:A58" si="1">A36+1</f>
        <v>233</v>
      </c>
      <c r="B37" s="41" t="s">
        <v>77</v>
      </c>
      <c r="C37" s="158" t="s">
        <v>285</v>
      </c>
      <c r="D37" s="316" t="s">
        <v>379</v>
      </c>
      <c r="E37" s="317" t="s">
        <v>82</v>
      </c>
      <c r="F37" s="190">
        <f>+PLG!F12</f>
        <v>1</v>
      </c>
      <c r="G37" s="70" t="s">
        <v>755</v>
      </c>
      <c r="H37" s="70"/>
      <c r="I37" s="69"/>
      <c r="K37" s="190"/>
      <c r="L37"/>
      <c r="M37" s="44"/>
      <c r="N37" s="69"/>
      <c r="AA37" s="61"/>
      <c r="AB37" s="61"/>
    </row>
    <row r="38" spans="1:28" ht="31.5" outlineLevel="1" x14ac:dyDescent="0.25">
      <c r="A38" s="8">
        <f t="shared" si="1"/>
        <v>234</v>
      </c>
      <c r="B38" s="41" t="s">
        <v>77</v>
      </c>
      <c r="C38" s="156" t="s">
        <v>285</v>
      </c>
      <c r="D38" s="316" t="s">
        <v>414</v>
      </c>
      <c r="E38" s="317" t="s">
        <v>83</v>
      </c>
      <c r="F38" s="190">
        <f>+PLG!F13</f>
        <v>1</v>
      </c>
      <c r="G38" s="70" t="s">
        <v>755</v>
      </c>
      <c r="H38" s="70"/>
      <c r="I38" s="69"/>
      <c r="K38" s="190"/>
      <c r="L38"/>
      <c r="M38" s="44"/>
      <c r="N38" s="69"/>
      <c r="AA38" s="61"/>
      <c r="AB38" s="61"/>
    </row>
    <row r="39" spans="1:28" ht="31.5" outlineLevel="1" x14ac:dyDescent="0.25">
      <c r="A39" s="8">
        <f t="shared" si="1"/>
        <v>235</v>
      </c>
      <c r="B39" s="41" t="s">
        <v>77</v>
      </c>
      <c r="C39" s="159" t="s">
        <v>285</v>
      </c>
      <c r="D39" s="316" t="s">
        <v>415</v>
      </c>
      <c r="E39" s="317" t="s">
        <v>84</v>
      </c>
      <c r="F39" s="190">
        <f>+PLG!F14</f>
        <v>1</v>
      </c>
      <c r="G39" s="70" t="s">
        <v>755</v>
      </c>
      <c r="H39" s="70"/>
      <c r="I39" s="69"/>
      <c r="K39" s="190"/>
      <c r="L39"/>
      <c r="M39" s="44"/>
      <c r="N39" s="69"/>
      <c r="AA39" s="61"/>
      <c r="AB39" s="61"/>
    </row>
    <row r="40" spans="1:28" ht="31.5" outlineLevel="1" x14ac:dyDescent="0.25">
      <c r="A40" s="8">
        <f t="shared" si="1"/>
        <v>236</v>
      </c>
      <c r="B40" s="41" t="s">
        <v>77</v>
      </c>
      <c r="C40" s="56" t="s">
        <v>285</v>
      </c>
      <c r="D40" s="316" t="s">
        <v>416</v>
      </c>
      <c r="E40" s="317" t="s">
        <v>658</v>
      </c>
      <c r="F40" s="190">
        <f>+PLG!F15</f>
        <v>1</v>
      </c>
      <c r="G40" s="70" t="s">
        <v>755</v>
      </c>
      <c r="H40" s="70"/>
      <c r="I40" s="69"/>
      <c r="K40" s="190"/>
      <c r="L40"/>
      <c r="M40" s="44"/>
      <c r="N40" s="69"/>
      <c r="AA40" s="61"/>
      <c r="AB40" s="61"/>
    </row>
    <row r="41" spans="1:28" ht="31.5" outlineLevel="1" x14ac:dyDescent="0.25">
      <c r="A41" s="8">
        <f t="shared" si="1"/>
        <v>237</v>
      </c>
      <c r="B41" s="41" t="s">
        <v>78</v>
      </c>
      <c r="C41" s="155" t="s">
        <v>279</v>
      </c>
      <c r="D41" s="316" t="s">
        <v>380</v>
      </c>
      <c r="E41" s="317" t="s">
        <v>93</v>
      </c>
      <c r="F41" s="190">
        <f>+IDP!F34</f>
        <v>1</v>
      </c>
      <c r="G41" s="68"/>
      <c r="H41" s="68"/>
      <c r="I41" s="69"/>
      <c r="K41" s="190"/>
      <c r="L41"/>
      <c r="M41" s="44"/>
      <c r="N41" s="69"/>
      <c r="AA41" s="61"/>
      <c r="AB41" s="61"/>
    </row>
    <row r="42" spans="1:28" ht="15.75" customHeight="1" outlineLevel="1" x14ac:dyDescent="0.25">
      <c r="A42" s="8">
        <f t="shared" si="1"/>
        <v>238</v>
      </c>
      <c r="B42" s="41" t="s">
        <v>78</v>
      </c>
      <c r="C42" s="56" t="s">
        <v>279</v>
      </c>
      <c r="D42" s="42" t="s">
        <v>659</v>
      </c>
      <c r="E42" s="43" t="s">
        <v>936</v>
      </c>
      <c r="F42" s="190">
        <v>0</v>
      </c>
      <c r="G42" s="68"/>
      <c r="H42" s="68" t="s">
        <v>763</v>
      </c>
      <c r="I42" s="69"/>
      <c r="K42" s="190"/>
      <c r="L42"/>
      <c r="M42" s="44"/>
      <c r="N42" s="69"/>
      <c r="AA42" s="61"/>
      <c r="AB42" s="61"/>
    </row>
    <row r="43" spans="1:28" ht="33.950000000000003" customHeight="1" outlineLevel="1" x14ac:dyDescent="0.25">
      <c r="A43" s="8">
        <f t="shared" si="1"/>
        <v>239</v>
      </c>
      <c r="B43" s="41" t="s">
        <v>79</v>
      </c>
      <c r="C43" s="158" t="s">
        <v>281</v>
      </c>
      <c r="D43" s="316" t="s">
        <v>381</v>
      </c>
      <c r="E43" s="317" t="s">
        <v>445</v>
      </c>
      <c r="F43" s="190" t="str">
        <f>+GST!F9</f>
        <v>N/A</v>
      </c>
      <c r="G43" s="70" t="s">
        <v>751</v>
      </c>
      <c r="H43" s="70"/>
      <c r="I43" s="69"/>
      <c r="K43" s="190"/>
      <c r="L43"/>
      <c r="M43" s="44"/>
      <c r="N43" s="69"/>
      <c r="AA43" s="61"/>
      <c r="AB43" s="61"/>
    </row>
    <row r="44" spans="1:28" ht="33.950000000000003" customHeight="1" outlineLevel="1" x14ac:dyDescent="0.25">
      <c r="A44" s="8">
        <f t="shared" si="1"/>
        <v>240</v>
      </c>
      <c r="B44" s="41" t="s">
        <v>79</v>
      </c>
      <c r="C44" s="159" t="s">
        <v>281</v>
      </c>
      <c r="D44" s="316" t="s">
        <v>417</v>
      </c>
      <c r="E44" s="317" t="s">
        <v>446</v>
      </c>
      <c r="F44" s="190" t="str">
        <f>+GST!F10</f>
        <v>N/A</v>
      </c>
      <c r="G44" s="70"/>
      <c r="H44" s="70"/>
      <c r="I44" s="69"/>
      <c r="K44" s="190" t="s">
        <v>142</v>
      </c>
      <c r="L44"/>
      <c r="M44" s="44"/>
      <c r="N44" s="69"/>
      <c r="AA44" s="61"/>
      <c r="AB44" s="61"/>
    </row>
    <row r="45" spans="1:28" ht="33.950000000000003" customHeight="1" outlineLevel="1" x14ac:dyDescent="0.25">
      <c r="A45" s="8">
        <f t="shared" si="1"/>
        <v>241</v>
      </c>
      <c r="B45" s="41" t="s">
        <v>79</v>
      </c>
      <c r="C45" s="156" t="s">
        <v>281</v>
      </c>
      <c r="D45" s="316" t="s">
        <v>418</v>
      </c>
      <c r="E45" s="317" t="s">
        <v>447</v>
      </c>
      <c r="F45" s="190" t="str">
        <f>+GST!F11</f>
        <v>N/A</v>
      </c>
      <c r="G45" s="70"/>
      <c r="H45" s="70"/>
      <c r="I45" s="69"/>
      <c r="K45" s="190"/>
      <c r="L45"/>
      <c r="M45" s="44"/>
      <c r="N45" s="69"/>
      <c r="AA45" s="61"/>
      <c r="AB45" s="61"/>
    </row>
    <row r="46" spans="1:28" outlineLevel="1" x14ac:dyDescent="0.25">
      <c r="A46" s="8">
        <f t="shared" si="1"/>
        <v>242</v>
      </c>
      <c r="B46" s="41" t="s">
        <v>79</v>
      </c>
      <c r="C46" s="159" t="s">
        <v>281</v>
      </c>
      <c r="D46" s="316" t="s">
        <v>419</v>
      </c>
      <c r="E46" s="317" t="s">
        <v>448</v>
      </c>
      <c r="F46" s="190" t="str">
        <f>+GST!F12</f>
        <v>N/A</v>
      </c>
      <c r="G46" s="70"/>
      <c r="H46" s="70"/>
      <c r="I46" s="69"/>
      <c r="K46" s="190"/>
      <c r="L46"/>
      <c r="M46" s="44"/>
      <c r="N46" s="69"/>
      <c r="AA46" s="61"/>
      <c r="AB46" s="61"/>
    </row>
    <row r="47" spans="1:28" outlineLevel="1" x14ac:dyDescent="0.25">
      <c r="A47" s="8">
        <f t="shared" si="1"/>
        <v>243</v>
      </c>
      <c r="B47" s="41" t="s">
        <v>79</v>
      </c>
      <c r="C47" s="159" t="s">
        <v>281</v>
      </c>
      <c r="D47" s="316" t="s">
        <v>420</v>
      </c>
      <c r="E47" s="317" t="s">
        <v>449</v>
      </c>
      <c r="F47" s="190" t="str">
        <f>+GST!F13</f>
        <v>N/A</v>
      </c>
      <c r="G47" s="70" t="s">
        <v>751</v>
      </c>
      <c r="H47" s="70"/>
      <c r="I47" s="69"/>
      <c r="K47" s="190"/>
      <c r="L47"/>
      <c r="M47" s="44"/>
      <c r="N47" s="69"/>
      <c r="AA47" s="61"/>
      <c r="AB47" s="61"/>
    </row>
    <row r="48" spans="1:28" outlineLevel="1" x14ac:dyDescent="0.25">
      <c r="A48" s="8">
        <f t="shared" si="1"/>
        <v>244</v>
      </c>
      <c r="B48" s="41" t="s">
        <v>79</v>
      </c>
      <c r="C48" s="159" t="s">
        <v>281</v>
      </c>
      <c r="D48" s="316" t="s">
        <v>421</v>
      </c>
      <c r="E48" s="317" t="s">
        <v>450</v>
      </c>
      <c r="F48" s="190" t="str">
        <f>+GST!F14</f>
        <v>N/A</v>
      </c>
      <c r="G48" s="70" t="s">
        <v>751</v>
      </c>
      <c r="H48" s="70"/>
      <c r="I48" s="69"/>
      <c r="K48" s="190"/>
      <c r="L48"/>
      <c r="M48" s="44"/>
      <c r="N48" s="69"/>
      <c r="AA48" s="61"/>
      <c r="AB48" s="61"/>
    </row>
    <row r="49" spans="1:28" outlineLevel="1" x14ac:dyDescent="0.25">
      <c r="A49" s="8">
        <f t="shared" si="1"/>
        <v>245</v>
      </c>
      <c r="B49" s="41" t="s">
        <v>79</v>
      </c>
      <c r="C49" s="56" t="s">
        <v>281</v>
      </c>
      <c r="D49" s="316" t="s">
        <v>422</v>
      </c>
      <c r="E49" s="317" t="s">
        <v>451</v>
      </c>
      <c r="F49" s="190" t="str">
        <f>+GST!F15</f>
        <v>N/A</v>
      </c>
      <c r="G49" s="70" t="s">
        <v>751</v>
      </c>
      <c r="H49" s="70"/>
      <c r="I49" s="69"/>
      <c r="K49" s="190"/>
      <c r="L49"/>
      <c r="M49" s="44"/>
      <c r="N49" s="69"/>
      <c r="AA49" s="61"/>
      <c r="AB49" s="61"/>
    </row>
    <row r="50" spans="1:28" outlineLevel="1" x14ac:dyDescent="0.25">
      <c r="A50" s="8">
        <f t="shared" si="1"/>
        <v>246</v>
      </c>
      <c r="B50" s="41" t="s">
        <v>315</v>
      </c>
      <c r="C50" s="158" t="s">
        <v>280</v>
      </c>
      <c r="D50" s="316" t="s">
        <v>382</v>
      </c>
      <c r="E50" s="317" t="s">
        <v>452</v>
      </c>
      <c r="F50" s="190">
        <f>+PLG!F58</f>
        <v>1</v>
      </c>
      <c r="G50" s="68"/>
      <c r="H50" s="68"/>
      <c r="I50" s="69"/>
      <c r="K50" s="190"/>
      <c r="L50"/>
      <c r="M50" s="44"/>
      <c r="N50" s="69"/>
      <c r="AA50" s="61"/>
      <c r="AB50" s="61"/>
    </row>
    <row r="51" spans="1:28" outlineLevel="1" x14ac:dyDescent="0.25">
      <c r="A51" s="8">
        <f t="shared" si="1"/>
        <v>247</v>
      </c>
      <c r="B51" s="41" t="s">
        <v>315</v>
      </c>
      <c r="C51" s="156" t="s">
        <v>280</v>
      </c>
      <c r="D51" s="316" t="s">
        <v>383</v>
      </c>
      <c r="E51" s="317" t="s">
        <v>660</v>
      </c>
      <c r="F51" s="190">
        <f>+PLG!F59</f>
        <v>1</v>
      </c>
      <c r="G51" s="68"/>
      <c r="H51" s="68"/>
      <c r="I51" s="69"/>
      <c r="K51" s="190"/>
      <c r="L51"/>
      <c r="M51" s="44"/>
      <c r="N51" s="69"/>
      <c r="AA51" s="61"/>
      <c r="AB51" s="61"/>
    </row>
    <row r="52" spans="1:28" outlineLevel="1" x14ac:dyDescent="0.25">
      <c r="A52" s="8">
        <f t="shared" si="1"/>
        <v>248</v>
      </c>
      <c r="B52" s="41" t="s">
        <v>315</v>
      </c>
      <c r="C52" s="56" t="s">
        <v>280</v>
      </c>
      <c r="D52" s="316" t="s">
        <v>384</v>
      </c>
      <c r="E52" s="317" t="s">
        <v>85</v>
      </c>
      <c r="F52" s="190">
        <f>+PLG!F60</f>
        <v>1</v>
      </c>
      <c r="G52" s="68"/>
      <c r="H52" s="68"/>
      <c r="I52" s="69"/>
      <c r="K52" s="190"/>
      <c r="L52"/>
      <c r="M52" s="44"/>
      <c r="N52" s="69"/>
      <c r="AA52" s="61"/>
      <c r="AB52" s="61"/>
    </row>
    <row r="53" spans="1:28" outlineLevel="1" x14ac:dyDescent="0.25">
      <c r="A53" s="8">
        <f t="shared" si="1"/>
        <v>249</v>
      </c>
      <c r="B53" s="41" t="s">
        <v>316</v>
      </c>
      <c r="C53" s="160" t="s">
        <v>286</v>
      </c>
      <c r="D53" s="316" t="s">
        <v>385</v>
      </c>
      <c r="E53" s="317" t="s">
        <v>453</v>
      </c>
      <c r="F53" s="190">
        <f>+PLG!F31</f>
        <v>1</v>
      </c>
      <c r="G53" s="68"/>
      <c r="H53" s="68"/>
      <c r="I53" s="43"/>
      <c r="K53" s="190"/>
      <c r="L53"/>
      <c r="M53" s="44"/>
      <c r="N53" s="69"/>
      <c r="AA53" s="61"/>
      <c r="AB53" s="61"/>
    </row>
    <row r="54" spans="1:28" outlineLevel="1" x14ac:dyDescent="0.25">
      <c r="A54" s="8">
        <f t="shared" si="1"/>
        <v>250</v>
      </c>
      <c r="B54" s="41" t="s">
        <v>672</v>
      </c>
      <c r="C54" s="158" t="s">
        <v>30</v>
      </c>
      <c r="D54" s="316" t="s">
        <v>661</v>
      </c>
      <c r="E54" s="317" t="s">
        <v>86</v>
      </c>
      <c r="F54" s="190">
        <f>+GST!F20</f>
        <v>1</v>
      </c>
      <c r="G54" s="72" t="s">
        <v>752</v>
      </c>
      <c r="H54" s="70"/>
      <c r="I54" s="69"/>
      <c r="K54" s="190"/>
      <c r="L54"/>
      <c r="M54" s="44"/>
      <c r="N54" s="69"/>
      <c r="AA54" s="61"/>
      <c r="AB54" s="61"/>
    </row>
    <row r="55" spans="1:28" outlineLevel="1" x14ac:dyDescent="0.25">
      <c r="A55" s="8">
        <f t="shared" si="1"/>
        <v>251</v>
      </c>
      <c r="B55" s="41" t="s">
        <v>672</v>
      </c>
      <c r="C55" s="159" t="s">
        <v>30</v>
      </c>
      <c r="D55" s="316" t="s">
        <v>662</v>
      </c>
      <c r="E55" s="317" t="s">
        <v>87</v>
      </c>
      <c r="F55" s="190">
        <f>+GST!F21</f>
        <v>1</v>
      </c>
      <c r="G55" s="72" t="s">
        <v>752</v>
      </c>
      <c r="H55" s="70"/>
      <c r="I55" s="69"/>
      <c r="K55" s="190"/>
      <c r="L55"/>
      <c r="M55" s="44"/>
      <c r="N55" s="69"/>
      <c r="AA55" s="61"/>
      <c r="AB55" s="61"/>
    </row>
    <row r="56" spans="1:28" outlineLevel="1" x14ac:dyDescent="0.25">
      <c r="A56" s="8">
        <f t="shared" si="1"/>
        <v>252</v>
      </c>
      <c r="B56" s="41" t="s">
        <v>672</v>
      </c>
      <c r="C56" s="159" t="s">
        <v>30</v>
      </c>
      <c r="D56" s="316" t="s">
        <v>663</v>
      </c>
      <c r="E56" s="317" t="s">
        <v>88</v>
      </c>
      <c r="F56" s="190">
        <f>+GST!F22</f>
        <v>1</v>
      </c>
      <c r="G56" s="72" t="s">
        <v>752</v>
      </c>
      <c r="H56" s="70"/>
      <c r="I56" s="69"/>
      <c r="K56" s="190"/>
      <c r="L56"/>
      <c r="M56" s="44"/>
      <c r="N56" s="69"/>
      <c r="AA56" s="61"/>
      <c r="AB56" s="61"/>
    </row>
    <row r="57" spans="1:28" ht="24.95" customHeight="1" outlineLevel="1" x14ac:dyDescent="0.25">
      <c r="A57" s="8">
        <f t="shared" si="1"/>
        <v>253</v>
      </c>
      <c r="B57" s="41" t="s">
        <v>672</v>
      </c>
      <c r="C57" s="159" t="s">
        <v>30</v>
      </c>
      <c r="D57" s="316" t="s">
        <v>664</v>
      </c>
      <c r="E57" s="317" t="s">
        <v>89</v>
      </c>
      <c r="F57" s="190">
        <f>+GST!F23</f>
        <v>1</v>
      </c>
      <c r="G57" s="72" t="s">
        <v>752</v>
      </c>
      <c r="H57" s="70"/>
      <c r="I57" s="69"/>
      <c r="K57" s="190"/>
      <c r="L57"/>
      <c r="M57" s="44"/>
      <c r="N57" s="69"/>
      <c r="AA57" s="61"/>
      <c r="AB57" s="61"/>
    </row>
    <row r="58" spans="1:28" outlineLevel="1" x14ac:dyDescent="0.25">
      <c r="A58" s="8">
        <f t="shared" si="1"/>
        <v>254</v>
      </c>
      <c r="B58" s="41" t="s">
        <v>672</v>
      </c>
      <c r="C58" s="156" t="s">
        <v>30</v>
      </c>
      <c r="D58" s="316" t="s">
        <v>665</v>
      </c>
      <c r="E58" s="317" t="s">
        <v>90</v>
      </c>
      <c r="F58" s="190">
        <f>+GST!F24</f>
        <v>1</v>
      </c>
      <c r="G58" s="72" t="s">
        <v>752</v>
      </c>
      <c r="H58" s="70"/>
      <c r="I58" s="69"/>
      <c r="K58" s="190"/>
      <c r="L58"/>
      <c r="M58" s="44"/>
      <c r="N58" s="69"/>
      <c r="AA58" s="61"/>
      <c r="AB58" s="61"/>
    </row>
    <row r="59" spans="1:28" outlineLevel="1" x14ac:dyDescent="0.25">
      <c r="A59" s="8">
        <f t="shared" ref="A59:A101" si="2">+A58+1</f>
        <v>255</v>
      </c>
      <c r="B59" s="41" t="s">
        <v>672</v>
      </c>
      <c r="C59" s="159" t="s">
        <v>30</v>
      </c>
      <c r="D59" s="316" t="s">
        <v>666</v>
      </c>
      <c r="E59" s="317" t="s">
        <v>744</v>
      </c>
      <c r="F59" s="190">
        <f>+GST!F25</f>
        <v>1</v>
      </c>
      <c r="G59" s="72" t="s">
        <v>752</v>
      </c>
      <c r="H59" s="70"/>
      <c r="I59" s="69"/>
      <c r="K59" s="190"/>
      <c r="L59"/>
      <c r="M59" s="44"/>
      <c r="N59" s="69"/>
      <c r="AA59" s="61"/>
      <c r="AB59" s="61"/>
    </row>
    <row r="60" spans="1:28" outlineLevel="1" x14ac:dyDescent="0.25">
      <c r="A60" s="8">
        <f t="shared" si="2"/>
        <v>256</v>
      </c>
      <c r="B60" s="41" t="s">
        <v>672</v>
      </c>
      <c r="C60" s="159" t="s">
        <v>30</v>
      </c>
      <c r="D60" s="316" t="s">
        <v>667</v>
      </c>
      <c r="E60" s="317" t="s">
        <v>91</v>
      </c>
      <c r="F60" s="190">
        <f>+GST!F26</f>
        <v>1</v>
      </c>
      <c r="G60" s="72" t="s">
        <v>752</v>
      </c>
      <c r="H60" s="70"/>
      <c r="I60" s="69"/>
      <c r="K60" s="190"/>
      <c r="L60"/>
      <c r="M60" s="44"/>
      <c r="N60" s="69"/>
      <c r="AA60" s="61"/>
      <c r="AB60" s="61"/>
    </row>
    <row r="61" spans="1:28" outlineLevel="1" x14ac:dyDescent="0.25">
      <c r="A61" s="8">
        <f t="shared" si="2"/>
        <v>257</v>
      </c>
      <c r="B61" s="41" t="s">
        <v>672</v>
      </c>
      <c r="C61" s="159" t="s">
        <v>30</v>
      </c>
      <c r="D61" s="316" t="s">
        <v>668</v>
      </c>
      <c r="E61" s="317" t="s">
        <v>454</v>
      </c>
      <c r="F61" s="190">
        <f>+GST!F27</f>
        <v>1</v>
      </c>
      <c r="G61" s="72"/>
      <c r="H61" s="70"/>
      <c r="I61" s="69"/>
      <c r="K61" s="190"/>
      <c r="L61"/>
      <c r="M61" s="44"/>
      <c r="N61" s="69"/>
      <c r="AA61" s="61"/>
      <c r="AB61" s="61"/>
    </row>
    <row r="62" spans="1:28" outlineLevel="1" x14ac:dyDescent="0.25">
      <c r="A62" s="8">
        <f t="shared" si="2"/>
        <v>258</v>
      </c>
      <c r="B62" s="41" t="s">
        <v>672</v>
      </c>
      <c r="C62" s="159" t="s">
        <v>30</v>
      </c>
      <c r="D62" s="316" t="s">
        <v>669</v>
      </c>
      <c r="E62" s="317" t="s">
        <v>455</v>
      </c>
      <c r="F62" s="190">
        <f>+GST!F29</f>
        <v>1</v>
      </c>
      <c r="G62" s="72"/>
      <c r="H62" s="70"/>
      <c r="I62" s="69"/>
      <c r="K62" s="190"/>
      <c r="L62"/>
      <c r="M62" s="44"/>
      <c r="N62" s="69"/>
      <c r="AA62" s="61"/>
      <c r="AB62" s="61"/>
    </row>
    <row r="63" spans="1:28" ht="33.950000000000003" customHeight="1" outlineLevel="1" x14ac:dyDescent="0.25">
      <c r="A63" s="8">
        <f t="shared" si="2"/>
        <v>259</v>
      </c>
      <c r="B63" s="41" t="s">
        <v>672</v>
      </c>
      <c r="C63" s="159" t="s">
        <v>30</v>
      </c>
      <c r="D63" s="316" t="s">
        <v>670</v>
      </c>
      <c r="E63" s="317" t="s">
        <v>34</v>
      </c>
      <c r="F63" s="190">
        <f>+GST!F29</f>
        <v>1</v>
      </c>
      <c r="G63" s="72" t="s">
        <v>752</v>
      </c>
      <c r="H63" s="70"/>
      <c r="I63" s="69"/>
      <c r="K63" s="190"/>
      <c r="L63"/>
      <c r="M63" s="44"/>
      <c r="N63" s="69"/>
      <c r="AA63" s="61"/>
      <c r="AB63" s="61"/>
    </row>
    <row r="64" spans="1:28" ht="33.950000000000003" customHeight="1" outlineLevel="1" x14ac:dyDescent="0.25">
      <c r="A64" s="8">
        <f t="shared" si="2"/>
        <v>260</v>
      </c>
      <c r="B64" s="41" t="s">
        <v>672</v>
      </c>
      <c r="C64" s="159" t="s">
        <v>30</v>
      </c>
      <c r="D64" s="42" t="s">
        <v>671</v>
      </c>
      <c r="E64" s="43" t="s">
        <v>70</v>
      </c>
      <c r="F64" s="190">
        <v>1</v>
      </c>
      <c r="G64" s="68"/>
      <c r="H64" s="68"/>
      <c r="I64" s="69"/>
      <c r="K64" s="190"/>
      <c r="L64"/>
      <c r="M64" s="44"/>
      <c r="N64" s="69"/>
      <c r="AA64" s="61"/>
      <c r="AB64" s="61"/>
    </row>
    <row r="65" spans="1:28" ht="31.5" outlineLevel="1" x14ac:dyDescent="0.25">
      <c r="A65" s="8">
        <f t="shared" si="2"/>
        <v>261</v>
      </c>
      <c r="B65" s="41" t="s">
        <v>672</v>
      </c>
      <c r="C65" s="159" t="s">
        <v>30</v>
      </c>
      <c r="D65" s="42" t="s">
        <v>745</v>
      </c>
      <c r="E65" s="43" t="s">
        <v>71</v>
      </c>
      <c r="F65" s="190">
        <v>0</v>
      </c>
      <c r="G65" s="68"/>
      <c r="H65" s="68"/>
      <c r="I65" s="69"/>
      <c r="K65" s="190"/>
      <c r="L65"/>
      <c r="M65" s="44"/>
      <c r="N65" s="69"/>
      <c r="AA65" s="61"/>
      <c r="AB65" s="61"/>
    </row>
    <row r="66" spans="1:28" outlineLevel="1" x14ac:dyDescent="0.25">
      <c r="A66" s="8">
        <f t="shared" si="2"/>
        <v>262</v>
      </c>
      <c r="B66" s="41" t="s">
        <v>672</v>
      </c>
      <c r="C66" s="56" t="s">
        <v>30</v>
      </c>
      <c r="D66" s="42" t="s">
        <v>753</v>
      </c>
      <c r="E66" s="43" t="s">
        <v>75</v>
      </c>
      <c r="F66" s="190">
        <v>1</v>
      </c>
      <c r="G66" s="68"/>
      <c r="H66" s="68"/>
      <c r="I66" s="69"/>
      <c r="K66" s="190"/>
      <c r="L66"/>
      <c r="M66" s="44"/>
      <c r="N66" s="69"/>
      <c r="AA66" s="61"/>
      <c r="AB66" s="61"/>
    </row>
    <row r="67" spans="1:28" ht="24.95" customHeight="1" x14ac:dyDescent="0.25">
      <c r="B67" s="62">
        <v>8</v>
      </c>
      <c r="C67" s="63" t="s">
        <v>17</v>
      </c>
      <c r="D67" s="64"/>
      <c r="E67" s="65"/>
      <c r="F67" s="66">
        <f>IFERROR(SUMIF(F68:F95,1,F68:F95)/SUM(COUNTIF(F68:F95,1),COUNTIF(F68:F95,0)),0)</f>
        <v>0.44444444444444442</v>
      </c>
      <c r="G67" s="66"/>
      <c r="H67" s="66"/>
      <c r="I67" s="66"/>
      <c r="K67" s="66">
        <f>IFERROR(SUMIF(K68:K95,1,K68:K95)/SUM(COUNTIF(K68:K95,1),COUNTIF(K68:K95,0)),0)</f>
        <v>0</v>
      </c>
      <c r="L67"/>
      <c r="M67" s="66">
        <f>IFERROR(SUMIF(M68:M95,1,M68:M95)/SUM(COUNTIF(M68:M95,1),COUNTIF(M68:M95,0)),0)</f>
        <v>0</v>
      </c>
      <c r="N67" s="66"/>
      <c r="AA67" s="60">
        <v>7.4999999999999997E-2</v>
      </c>
      <c r="AB67" s="60">
        <f>+AA67/$AB$3</f>
        <v>0.18749999999999994</v>
      </c>
    </row>
    <row r="68" spans="1:28" outlineLevel="1" x14ac:dyDescent="0.25">
      <c r="A68" s="8">
        <f>+A66+1</f>
        <v>263</v>
      </c>
      <c r="B68" s="41" t="s">
        <v>80</v>
      </c>
      <c r="C68" s="158" t="s">
        <v>701</v>
      </c>
      <c r="D68" s="316" t="s">
        <v>387</v>
      </c>
      <c r="E68" s="317" t="s">
        <v>673</v>
      </c>
      <c r="F68" s="190">
        <f>+GST!F53</f>
        <v>1</v>
      </c>
      <c r="G68" s="70" t="s">
        <v>750</v>
      </c>
      <c r="H68" s="68"/>
      <c r="I68" s="69"/>
      <c r="K68" s="190"/>
      <c r="L68"/>
      <c r="M68" s="44"/>
      <c r="N68" s="69"/>
      <c r="AA68" s="61"/>
      <c r="AB68" s="61"/>
    </row>
    <row r="69" spans="1:28" outlineLevel="1" x14ac:dyDescent="0.25">
      <c r="A69" s="8">
        <f t="shared" si="2"/>
        <v>264</v>
      </c>
      <c r="B69" s="41" t="s">
        <v>80</v>
      </c>
      <c r="C69" s="156" t="s">
        <v>701</v>
      </c>
      <c r="D69" s="316" t="s">
        <v>388</v>
      </c>
      <c r="E69" s="317" t="s">
        <v>674</v>
      </c>
      <c r="F69" s="190">
        <f>+GST!F54</f>
        <v>1</v>
      </c>
      <c r="G69" s="70" t="s">
        <v>750</v>
      </c>
      <c r="H69" s="68"/>
      <c r="I69" s="69"/>
      <c r="K69" s="190"/>
      <c r="L69"/>
      <c r="M69" s="44"/>
      <c r="N69" s="69"/>
      <c r="AA69" s="61"/>
      <c r="AB69" s="61"/>
    </row>
    <row r="70" spans="1:28" outlineLevel="1" x14ac:dyDescent="0.25">
      <c r="A70" s="8">
        <f t="shared" si="2"/>
        <v>265</v>
      </c>
      <c r="B70" s="41" t="s">
        <v>80</v>
      </c>
      <c r="C70" s="56" t="s">
        <v>701</v>
      </c>
      <c r="D70" s="316" t="s">
        <v>389</v>
      </c>
      <c r="E70" s="317" t="s">
        <v>675</v>
      </c>
      <c r="F70" s="190">
        <f>+GST!F55</f>
        <v>1</v>
      </c>
      <c r="G70" s="70" t="s">
        <v>750</v>
      </c>
      <c r="H70" s="68"/>
      <c r="I70" s="69"/>
      <c r="K70" s="190"/>
      <c r="L70"/>
      <c r="M70" s="44"/>
      <c r="N70" s="69"/>
      <c r="AA70" s="61"/>
      <c r="AB70" s="61"/>
    </row>
    <row r="71" spans="1:28" ht="33.950000000000003" customHeight="1" outlineLevel="1" x14ac:dyDescent="0.25">
      <c r="A71" s="8">
        <f t="shared" si="2"/>
        <v>266</v>
      </c>
      <c r="B71" s="41" t="s">
        <v>81</v>
      </c>
      <c r="C71" s="158" t="s">
        <v>702</v>
      </c>
      <c r="D71" s="316" t="s">
        <v>390</v>
      </c>
      <c r="E71" s="317" t="s">
        <v>676</v>
      </c>
      <c r="F71" s="190">
        <f>+GST!F56</f>
        <v>1</v>
      </c>
      <c r="G71" s="70" t="s">
        <v>750</v>
      </c>
      <c r="H71" s="68"/>
      <c r="I71" s="69"/>
      <c r="K71" s="190"/>
      <c r="L71"/>
      <c r="M71" s="44"/>
      <c r="N71" s="69"/>
      <c r="AA71" s="61"/>
      <c r="AB71" s="61"/>
    </row>
    <row r="72" spans="1:28" ht="31.5" outlineLevel="1" x14ac:dyDescent="0.25">
      <c r="A72" s="8">
        <f t="shared" si="2"/>
        <v>267</v>
      </c>
      <c r="B72" s="41" t="s">
        <v>81</v>
      </c>
      <c r="C72" s="159" t="s">
        <v>702</v>
      </c>
      <c r="D72" s="316" t="s">
        <v>391</v>
      </c>
      <c r="E72" s="317" t="s">
        <v>677</v>
      </c>
      <c r="F72" s="190">
        <f>+GST!F57</f>
        <v>1</v>
      </c>
      <c r="G72" s="70" t="s">
        <v>750</v>
      </c>
      <c r="H72" s="68" t="s">
        <v>762</v>
      </c>
      <c r="I72" s="69"/>
      <c r="K72" s="190"/>
      <c r="L72"/>
      <c r="M72" s="44"/>
      <c r="N72" s="69"/>
      <c r="AA72" s="61"/>
      <c r="AB72" s="61"/>
    </row>
    <row r="73" spans="1:28" ht="31.5" outlineLevel="1" x14ac:dyDescent="0.25">
      <c r="A73" s="8">
        <f t="shared" si="2"/>
        <v>268</v>
      </c>
      <c r="B73" s="41" t="s">
        <v>81</v>
      </c>
      <c r="C73" s="159" t="s">
        <v>702</v>
      </c>
      <c r="D73" s="316" t="s">
        <v>678</v>
      </c>
      <c r="E73" s="317" t="s">
        <v>679</v>
      </c>
      <c r="F73" s="190">
        <f>+GST!F58</f>
        <v>1</v>
      </c>
      <c r="G73" s="70" t="s">
        <v>750</v>
      </c>
      <c r="H73" s="68" t="s">
        <v>762</v>
      </c>
      <c r="I73" s="69"/>
      <c r="K73" s="190"/>
      <c r="L73"/>
      <c r="M73" s="44"/>
      <c r="N73" s="69"/>
      <c r="AA73" s="61"/>
      <c r="AB73" s="61"/>
    </row>
    <row r="74" spans="1:28" ht="31.5" outlineLevel="1" x14ac:dyDescent="0.25">
      <c r="A74" s="8">
        <f t="shared" si="2"/>
        <v>269</v>
      </c>
      <c r="B74" s="41" t="s">
        <v>81</v>
      </c>
      <c r="C74" s="156" t="s">
        <v>702</v>
      </c>
      <c r="D74" s="42" t="s">
        <v>680</v>
      </c>
      <c r="E74" s="199" t="s">
        <v>937</v>
      </c>
      <c r="F74" s="190">
        <v>0</v>
      </c>
      <c r="G74" s="70"/>
      <c r="H74" s="68" t="s">
        <v>762</v>
      </c>
      <c r="I74" s="69"/>
      <c r="K74" s="190"/>
      <c r="L74"/>
      <c r="M74" s="44"/>
      <c r="N74" s="69"/>
      <c r="AA74" s="61"/>
      <c r="AB74" s="61"/>
    </row>
    <row r="75" spans="1:28" ht="31.5" outlineLevel="1" x14ac:dyDescent="0.25">
      <c r="A75" s="8">
        <f t="shared" si="2"/>
        <v>270</v>
      </c>
      <c r="B75" s="41" t="s">
        <v>81</v>
      </c>
      <c r="C75" s="274" t="s">
        <v>702</v>
      </c>
      <c r="D75" s="316" t="s">
        <v>681</v>
      </c>
      <c r="E75" s="317" t="s">
        <v>456</v>
      </c>
      <c r="F75" s="190">
        <f>+GST!F59</f>
        <v>0</v>
      </c>
      <c r="G75" s="70"/>
      <c r="H75" s="68"/>
      <c r="I75" s="69"/>
      <c r="K75" s="190"/>
      <c r="L75"/>
      <c r="M75" s="44"/>
      <c r="N75" s="69"/>
      <c r="AA75" s="61"/>
      <c r="AB75" s="61"/>
    </row>
    <row r="76" spans="1:28" ht="31.5" outlineLevel="1" x14ac:dyDescent="0.25">
      <c r="A76" s="8">
        <f t="shared" si="2"/>
        <v>271</v>
      </c>
      <c r="B76" s="41" t="s">
        <v>81</v>
      </c>
      <c r="C76" s="159" t="s">
        <v>702</v>
      </c>
      <c r="D76" s="42" t="s">
        <v>682</v>
      </c>
      <c r="E76" s="43" t="s">
        <v>72</v>
      </c>
      <c r="F76" s="190">
        <v>0</v>
      </c>
      <c r="G76" s="68"/>
      <c r="H76" s="68"/>
      <c r="I76" s="69"/>
      <c r="K76" s="190"/>
      <c r="L76"/>
      <c r="M76" s="44"/>
      <c r="N76" s="69"/>
      <c r="AA76" s="61"/>
      <c r="AB76" s="61"/>
    </row>
    <row r="77" spans="1:28" ht="31.5" outlineLevel="1" x14ac:dyDescent="0.25">
      <c r="A77" s="8">
        <f t="shared" si="2"/>
        <v>272</v>
      </c>
      <c r="B77" s="41" t="s">
        <v>81</v>
      </c>
      <c r="C77" s="159" t="s">
        <v>702</v>
      </c>
      <c r="D77" s="42" t="s">
        <v>683</v>
      </c>
      <c r="E77" s="43" t="s">
        <v>74</v>
      </c>
      <c r="F77" s="190">
        <v>0</v>
      </c>
      <c r="G77" s="68"/>
      <c r="H77" s="68"/>
      <c r="I77" s="69"/>
      <c r="K77" s="190"/>
      <c r="L77"/>
      <c r="M77" s="44"/>
      <c r="N77" s="69"/>
      <c r="AA77" s="61"/>
      <c r="AB77" s="61"/>
    </row>
    <row r="78" spans="1:28" ht="31.5" outlineLevel="1" x14ac:dyDescent="0.25">
      <c r="A78" s="8">
        <f t="shared" si="2"/>
        <v>273</v>
      </c>
      <c r="B78" s="41" t="s">
        <v>81</v>
      </c>
      <c r="C78" s="56" t="s">
        <v>702</v>
      </c>
      <c r="D78" s="42" t="s">
        <v>787</v>
      </c>
      <c r="E78" s="43" t="s">
        <v>938</v>
      </c>
      <c r="F78" s="190">
        <v>0</v>
      </c>
      <c r="G78" s="68"/>
      <c r="H78" s="68" t="s">
        <v>763</v>
      </c>
      <c r="I78" s="69"/>
      <c r="K78" s="190"/>
      <c r="L78"/>
      <c r="M78" s="44"/>
      <c r="N78" s="69"/>
      <c r="AA78" s="61"/>
      <c r="AB78" s="61"/>
    </row>
    <row r="79" spans="1:28" ht="33.950000000000003" customHeight="1" outlineLevel="1" x14ac:dyDescent="0.25">
      <c r="A79" s="8">
        <f t="shared" si="2"/>
        <v>274</v>
      </c>
      <c r="B79" s="41" t="s">
        <v>317</v>
      </c>
      <c r="C79" s="158" t="s">
        <v>703</v>
      </c>
      <c r="D79" s="42" t="s">
        <v>392</v>
      </c>
      <c r="E79" s="43" t="s">
        <v>684</v>
      </c>
      <c r="F79" s="190">
        <v>0</v>
      </c>
      <c r="G79" s="68" t="s">
        <v>746</v>
      </c>
      <c r="H79" s="68"/>
      <c r="I79" s="69"/>
      <c r="K79" s="190"/>
      <c r="L79"/>
      <c r="M79" s="44"/>
      <c r="N79" s="69"/>
      <c r="AA79" s="61"/>
      <c r="AB79" s="61"/>
    </row>
    <row r="80" spans="1:28" ht="31.5" outlineLevel="1" x14ac:dyDescent="0.25">
      <c r="A80" s="8">
        <f t="shared" si="2"/>
        <v>275</v>
      </c>
      <c r="B80" s="73" t="s">
        <v>317</v>
      </c>
      <c r="C80" s="159" t="s">
        <v>703</v>
      </c>
      <c r="D80" s="42" t="s">
        <v>820</v>
      </c>
      <c r="E80" s="43" t="s">
        <v>786</v>
      </c>
      <c r="F80" s="190">
        <v>0</v>
      </c>
      <c r="G80" s="68"/>
      <c r="H80" s="68" t="s">
        <v>763</v>
      </c>
      <c r="I80" s="69"/>
      <c r="K80" s="190"/>
      <c r="L80"/>
      <c r="M80" s="44"/>
      <c r="N80" s="69"/>
      <c r="AA80" s="61"/>
      <c r="AB80" s="61"/>
    </row>
    <row r="81" spans="1:28" ht="31.5" outlineLevel="1" x14ac:dyDescent="0.25">
      <c r="A81" s="8">
        <f t="shared" si="2"/>
        <v>276</v>
      </c>
      <c r="B81" s="73" t="s">
        <v>317</v>
      </c>
      <c r="C81" s="159" t="s">
        <v>703</v>
      </c>
      <c r="D81" s="42" t="s">
        <v>685</v>
      </c>
      <c r="E81" s="43" t="s">
        <v>687</v>
      </c>
      <c r="F81" s="190">
        <v>0</v>
      </c>
      <c r="G81" s="68"/>
      <c r="H81" s="68" t="s">
        <v>763</v>
      </c>
      <c r="I81" s="69"/>
      <c r="K81" s="190"/>
      <c r="L81"/>
      <c r="M81" s="44"/>
      <c r="N81" s="69"/>
      <c r="AA81" s="61"/>
      <c r="AB81" s="61"/>
    </row>
    <row r="82" spans="1:28" ht="31.5" outlineLevel="1" x14ac:dyDescent="0.25">
      <c r="A82" s="8">
        <f t="shared" si="2"/>
        <v>277</v>
      </c>
      <c r="B82" s="41" t="s">
        <v>317</v>
      </c>
      <c r="C82" s="159" t="s">
        <v>703</v>
      </c>
      <c r="D82" s="45" t="s">
        <v>686</v>
      </c>
      <c r="E82" s="46" t="s">
        <v>689</v>
      </c>
      <c r="F82" s="190">
        <v>0</v>
      </c>
      <c r="G82" s="68"/>
      <c r="H82" s="68" t="s">
        <v>763</v>
      </c>
      <c r="I82" s="69"/>
      <c r="K82" s="190"/>
      <c r="L82"/>
      <c r="M82" s="44"/>
      <c r="N82" s="69"/>
      <c r="AA82" s="61"/>
      <c r="AB82" s="61"/>
    </row>
    <row r="83" spans="1:28" ht="31.5" outlineLevel="1" x14ac:dyDescent="0.25">
      <c r="A83" s="8">
        <f>+A82+1</f>
        <v>278</v>
      </c>
      <c r="B83" s="41" t="s">
        <v>317</v>
      </c>
      <c r="C83" s="156" t="s">
        <v>703</v>
      </c>
      <c r="D83" s="42" t="s">
        <v>688</v>
      </c>
      <c r="E83" s="43" t="s">
        <v>691</v>
      </c>
      <c r="F83" s="190">
        <v>0</v>
      </c>
      <c r="G83" s="68"/>
      <c r="H83" s="68" t="s">
        <v>763</v>
      </c>
      <c r="I83" s="69"/>
      <c r="K83" s="190"/>
      <c r="L83"/>
      <c r="M83" s="44"/>
      <c r="N83" s="69"/>
      <c r="AA83" s="61"/>
      <c r="AB83" s="61"/>
    </row>
    <row r="84" spans="1:28" ht="47.25" outlineLevel="1" x14ac:dyDescent="0.25">
      <c r="A84" s="8">
        <f t="shared" si="2"/>
        <v>279</v>
      </c>
      <c r="B84" s="41" t="s">
        <v>317</v>
      </c>
      <c r="C84" s="159" t="s">
        <v>703</v>
      </c>
      <c r="D84" s="42" t="s">
        <v>690</v>
      </c>
      <c r="E84" s="43" t="s">
        <v>693</v>
      </c>
      <c r="F84" s="190">
        <v>0</v>
      </c>
      <c r="G84" s="68"/>
      <c r="H84" s="68" t="s">
        <v>763</v>
      </c>
      <c r="I84" s="69"/>
      <c r="K84" s="190"/>
      <c r="L84"/>
      <c r="M84" s="44"/>
      <c r="N84" s="69"/>
      <c r="AA84" s="61"/>
      <c r="AB84" s="61"/>
    </row>
    <row r="85" spans="1:28" ht="47.25" outlineLevel="1" x14ac:dyDescent="0.25">
      <c r="A85" s="8">
        <f t="shared" si="2"/>
        <v>280</v>
      </c>
      <c r="B85" s="41" t="s">
        <v>317</v>
      </c>
      <c r="C85" s="159" t="s">
        <v>703</v>
      </c>
      <c r="D85" s="42" t="s">
        <v>692</v>
      </c>
      <c r="E85" s="43" t="s">
        <v>838</v>
      </c>
      <c r="F85" s="190">
        <v>0</v>
      </c>
      <c r="G85" s="68"/>
      <c r="H85" s="68" t="s">
        <v>763</v>
      </c>
      <c r="I85" s="69"/>
      <c r="K85" s="190"/>
      <c r="L85"/>
      <c r="M85" s="44"/>
      <c r="N85" s="69"/>
      <c r="AA85" s="61"/>
      <c r="AB85" s="61"/>
    </row>
    <row r="86" spans="1:28" outlineLevel="1" x14ac:dyDescent="0.25">
      <c r="A86" s="8">
        <f t="shared" si="2"/>
        <v>281</v>
      </c>
      <c r="B86" s="41" t="s">
        <v>318</v>
      </c>
      <c r="C86" s="158" t="s">
        <v>272</v>
      </c>
      <c r="D86" s="316" t="s">
        <v>393</v>
      </c>
      <c r="E86" s="317" t="s">
        <v>292</v>
      </c>
      <c r="F86" s="190">
        <f>+GST!F43</f>
        <v>1</v>
      </c>
      <c r="G86" s="68"/>
      <c r="H86" s="68"/>
      <c r="I86" s="69"/>
      <c r="K86" s="190"/>
      <c r="L86"/>
      <c r="M86" s="44"/>
      <c r="N86" s="69"/>
      <c r="AA86" s="61"/>
      <c r="AB86" s="61"/>
    </row>
    <row r="87" spans="1:28" ht="47.25" outlineLevel="1" x14ac:dyDescent="0.25">
      <c r="A87" s="8">
        <f t="shared" si="2"/>
        <v>282</v>
      </c>
      <c r="B87" s="41" t="s">
        <v>318</v>
      </c>
      <c r="C87" s="161" t="s">
        <v>272</v>
      </c>
      <c r="D87" s="316" t="s">
        <v>694</v>
      </c>
      <c r="E87" s="317" t="s">
        <v>695</v>
      </c>
      <c r="F87" s="190">
        <f>+GST!F44</f>
        <v>1</v>
      </c>
      <c r="G87" s="68"/>
      <c r="H87" s="68"/>
      <c r="I87" s="69"/>
      <c r="K87" s="190"/>
      <c r="L87"/>
      <c r="M87" s="44"/>
      <c r="N87" s="69"/>
      <c r="AA87" s="61"/>
      <c r="AB87" s="61"/>
    </row>
    <row r="88" spans="1:28" ht="63" outlineLevel="1" x14ac:dyDescent="0.25">
      <c r="A88" s="8">
        <f t="shared" si="2"/>
        <v>283</v>
      </c>
      <c r="B88" s="41" t="s">
        <v>318</v>
      </c>
      <c r="C88" s="56" t="s">
        <v>272</v>
      </c>
      <c r="D88" s="42" t="s">
        <v>696</v>
      </c>
      <c r="E88" s="43" t="s">
        <v>697</v>
      </c>
      <c r="F88" s="190">
        <v>0</v>
      </c>
      <c r="G88" s="68"/>
      <c r="H88" s="68" t="s">
        <v>763</v>
      </c>
      <c r="I88" s="69"/>
      <c r="K88" s="190"/>
      <c r="L88"/>
      <c r="M88" s="44"/>
      <c r="N88" s="69"/>
      <c r="AA88" s="61"/>
      <c r="AB88" s="61"/>
    </row>
    <row r="89" spans="1:28" outlineLevel="1" x14ac:dyDescent="0.25">
      <c r="A89" s="8">
        <f t="shared" si="2"/>
        <v>284</v>
      </c>
      <c r="B89" s="41" t="s">
        <v>319</v>
      </c>
      <c r="C89" s="164" t="s">
        <v>282</v>
      </c>
      <c r="D89" s="316" t="s">
        <v>394</v>
      </c>
      <c r="E89" s="317" t="s">
        <v>423</v>
      </c>
      <c r="F89" s="190">
        <f>+GST!F35</f>
        <v>1</v>
      </c>
      <c r="G89" s="68"/>
      <c r="H89" s="68"/>
      <c r="I89" s="69"/>
      <c r="K89" s="190"/>
      <c r="L89"/>
      <c r="M89" s="44"/>
      <c r="N89" s="69"/>
      <c r="AA89" s="61"/>
      <c r="AB89" s="61"/>
    </row>
    <row r="90" spans="1:28" ht="31.5" outlineLevel="1" x14ac:dyDescent="0.25">
      <c r="A90" s="8">
        <f t="shared" si="2"/>
        <v>285</v>
      </c>
      <c r="B90" s="41" t="s">
        <v>319</v>
      </c>
      <c r="C90" s="56" t="s">
        <v>282</v>
      </c>
      <c r="D90" s="42" t="s">
        <v>698</v>
      </c>
      <c r="E90" s="43" t="s">
        <v>939</v>
      </c>
      <c r="F90" s="190">
        <v>0</v>
      </c>
      <c r="G90" s="68"/>
      <c r="H90" s="68"/>
      <c r="I90" s="69"/>
      <c r="K90" s="190"/>
      <c r="L90"/>
      <c r="M90" s="44"/>
      <c r="N90" s="69"/>
      <c r="AA90" s="61"/>
      <c r="AB90" s="61"/>
    </row>
    <row r="91" spans="1:28" ht="31.5" outlineLevel="1" x14ac:dyDescent="0.25">
      <c r="A91" s="8">
        <f t="shared" si="2"/>
        <v>286</v>
      </c>
      <c r="B91" s="41" t="s">
        <v>320</v>
      </c>
      <c r="C91" s="158" t="s">
        <v>283</v>
      </c>
      <c r="D91" s="316" t="s">
        <v>395</v>
      </c>
      <c r="E91" s="317" t="s">
        <v>940</v>
      </c>
      <c r="F91" s="190">
        <f>+GST!F37</f>
        <v>1</v>
      </c>
      <c r="G91" s="68"/>
      <c r="H91" s="68" t="s">
        <v>762</v>
      </c>
      <c r="I91" s="69"/>
      <c r="K91" s="190"/>
      <c r="L91"/>
      <c r="M91" s="44"/>
      <c r="N91" s="74"/>
      <c r="AA91" s="61"/>
      <c r="AB91" s="61"/>
    </row>
    <row r="92" spans="1:28" outlineLevel="1" x14ac:dyDescent="0.25">
      <c r="A92" s="8">
        <f t="shared" si="2"/>
        <v>287</v>
      </c>
      <c r="B92" s="41" t="s">
        <v>320</v>
      </c>
      <c r="C92" s="159" t="s">
        <v>283</v>
      </c>
      <c r="D92" s="316" t="s">
        <v>396</v>
      </c>
      <c r="E92" s="317" t="s">
        <v>941</v>
      </c>
      <c r="F92" s="190" t="str">
        <f>+GST!F38</f>
        <v>N/A</v>
      </c>
      <c r="G92" s="68"/>
      <c r="H92" s="68" t="s">
        <v>762</v>
      </c>
      <c r="I92" s="69"/>
      <c r="K92" s="190"/>
      <c r="L92"/>
      <c r="M92" s="44"/>
      <c r="N92" s="74"/>
      <c r="AA92" s="61"/>
      <c r="AB92" s="61"/>
    </row>
    <row r="93" spans="1:28" ht="31.5" outlineLevel="1" x14ac:dyDescent="0.25">
      <c r="A93" s="8">
        <f t="shared" si="2"/>
        <v>288</v>
      </c>
      <c r="B93" s="41" t="s">
        <v>320</v>
      </c>
      <c r="C93" s="156" t="s">
        <v>283</v>
      </c>
      <c r="D93" s="316" t="s">
        <v>699</v>
      </c>
      <c r="E93" s="317" t="s">
        <v>942</v>
      </c>
      <c r="F93" s="190">
        <f>+GST!F39</f>
        <v>1</v>
      </c>
      <c r="G93" s="68"/>
      <c r="H93" s="68" t="s">
        <v>762</v>
      </c>
      <c r="I93" s="69"/>
      <c r="K93" s="190"/>
      <c r="L93"/>
      <c r="M93" s="44"/>
      <c r="N93" s="74"/>
      <c r="AA93" s="61"/>
      <c r="AB93" s="61"/>
    </row>
    <row r="94" spans="1:28" ht="31.5" outlineLevel="1" x14ac:dyDescent="0.25">
      <c r="A94" s="8">
        <f t="shared" si="2"/>
        <v>289</v>
      </c>
      <c r="B94" s="41" t="s">
        <v>320</v>
      </c>
      <c r="C94" s="56" t="s">
        <v>283</v>
      </c>
      <c r="D94" s="316" t="s">
        <v>700</v>
      </c>
      <c r="E94" s="317" t="s">
        <v>943</v>
      </c>
      <c r="F94" s="190">
        <f>+GST!F40</f>
        <v>1</v>
      </c>
      <c r="G94" s="68"/>
      <c r="H94" s="68" t="s">
        <v>762</v>
      </c>
      <c r="I94" s="69"/>
      <c r="K94" s="190"/>
      <c r="L94"/>
      <c r="M94" s="44"/>
      <c r="N94" s="74"/>
      <c r="AA94" s="61"/>
      <c r="AB94" s="61"/>
    </row>
    <row r="95" spans="1:28" ht="47.25" outlineLevel="1" x14ac:dyDescent="0.25">
      <c r="A95" s="8">
        <f t="shared" si="2"/>
        <v>290</v>
      </c>
      <c r="B95" s="41" t="s">
        <v>321</v>
      </c>
      <c r="C95" s="42" t="s">
        <v>513</v>
      </c>
      <c r="D95" s="42" t="s">
        <v>397</v>
      </c>
      <c r="E95" s="43" t="s">
        <v>944</v>
      </c>
      <c r="F95" s="190">
        <v>0</v>
      </c>
      <c r="G95" s="68"/>
      <c r="H95" s="68"/>
      <c r="I95" s="69"/>
      <c r="K95" s="190"/>
      <c r="L95"/>
      <c r="M95" s="44"/>
      <c r="N95" s="69"/>
      <c r="AA95" s="61"/>
      <c r="AB95" s="61"/>
    </row>
    <row r="96" spans="1:28" ht="24.95" customHeight="1" x14ac:dyDescent="0.25">
      <c r="B96" s="62">
        <v>9</v>
      </c>
      <c r="C96" s="63" t="s">
        <v>410</v>
      </c>
      <c r="D96" s="64"/>
      <c r="E96" s="65"/>
      <c r="F96" s="66">
        <f>IFERROR(SUMIF(F97:F107,1,F97:F107)/SUM(COUNTIF(F97:F107,1),COUNTIF(F97:F107,0)),0)</f>
        <v>0.22222222222222221</v>
      </c>
      <c r="G96" s="66"/>
      <c r="H96" s="66"/>
      <c r="I96" s="66"/>
      <c r="K96" s="66">
        <f>IFERROR(SUMIF(K97:K107,1,K97:K107)/SUM(COUNTIF(K97:K107,1),COUNTIF(K97:K107,0)),0)</f>
        <v>0</v>
      </c>
      <c r="L96"/>
      <c r="M96" s="66">
        <f>IFERROR(SUMIF(M97:M107,1,M97:M107)/SUM(COUNTIF(M97:M107,1),COUNTIF(M97:M107,0)),0)</f>
        <v>0</v>
      </c>
      <c r="N96" s="66"/>
      <c r="AA96" s="60">
        <v>2.5000000000000001E-2</v>
      </c>
      <c r="AB96" s="60">
        <f>+AA96/$AB$3</f>
        <v>6.2499999999999993E-2</v>
      </c>
    </row>
    <row r="97" spans="1:28" outlineLevel="1" x14ac:dyDescent="0.25">
      <c r="A97" s="8">
        <f>+A95+1</f>
        <v>291</v>
      </c>
      <c r="B97" s="41" t="s">
        <v>398</v>
      </c>
      <c r="C97" s="155" t="s">
        <v>492</v>
      </c>
      <c r="D97" s="45" t="s">
        <v>399</v>
      </c>
      <c r="E97" s="315" t="s">
        <v>493</v>
      </c>
      <c r="F97" s="190" t="s">
        <v>142</v>
      </c>
      <c r="G97" s="68"/>
      <c r="H97" s="68"/>
      <c r="I97" s="69"/>
      <c r="K97" s="190" t="s">
        <v>142</v>
      </c>
      <c r="L97"/>
      <c r="M97" s="44"/>
      <c r="N97" s="69"/>
      <c r="AA97" s="61"/>
      <c r="AB97" s="61"/>
    </row>
    <row r="98" spans="1:28" ht="31.5" outlineLevel="1" x14ac:dyDescent="0.25">
      <c r="A98" s="8">
        <f t="shared" si="2"/>
        <v>292</v>
      </c>
      <c r="B98" s="41" t="s">
        <v>398</v>
      </c>
      <c r="C98" s="56" t="s">
        <v>492</v>
      </c>
      <c r="D98" s="45" t="s">
        <v>501</v>
      </c>
      <c r="E98" s="315" t="s">
        <v>494</v>
      </c>
      <c r="F98" s="190" t="s">
        <v>142</v>
      </c>
      <c r="G98" s="68"/>
      <c r="H98" s="68"/>
      <c r="I98" s="69"/>
      <c r="K98" s="190" t="s">
        <v>142</v>
      </c>
      <c r="L98"/>
      <c r="M98" s="44"/>
      <c r="N98" s="69"/>
      <c r="AA98" s="61"/>
      <c r="AB98" s="61"/>
    </row>
    <row r="99" spans="1:28" outlineLevel="1" x14ac:dyDescent="0.25">
      <c r="A99" s="8">
        <f t="shared" si="2"/>
        <v>293</v>
      </c>
      <c r="B99" s="41" t="s">
        <v>400</v>
      </c>
      <c r="C99" s="158" t="s">
        <v>495</v>
      </c>
      <c r="D99" s="42" t="s">
        <v>401</v>
      </c>
      <c r="E99" s="43" t="s">
        <v>496</v>
      </c>
      <c r="F99" s="190">
        <v>0</v>
      </c>
      <c r="G99" s="68"/>
      <c r="H99" s="68"/>
      <c r="I99" s="69"/>
      <c r="K99" s="190"/>
      <c r="L99"/>
      <c r="M99" s="44"/>
      <c r="N99" s="69"/>
      <c r="AA99" s="61"/>
      <c r="AB99" s="61"/>
    </row>
    <row r="100" spans="1:28" ht="24.95" customHeight="1" outlineLevel="1" x14ac:dyDescent="0.25">
      <c r="A100" s="8">
        <f t="shared" si="2"/>
        <v>294</v>
      </c>
      <c r="B100" s="41" t="s">
        <v>400</v>
      </c>
      <c r="C100" s="156" t="s">
        <v>495</v>
      </c>
      <c r="D100" s="42" t="s">
        <v>502</v>
      </c>
      <c r="E100" s="43" t="s">
        <v>497</v>
      </c>
      <c r="F100" s="190">
        <v>0</v>
      </c>
      <c r="G100" s="68"/>
      <c r="H100" s="68"/>
      <c r="I100" s="69"/>
      <c r="K100" s="190"/>
      <c r="L100"/>
      <c r="M100" s="44"/>
      <c r="N100" s="69"/>
      <c r="AA100" s="61"/>
      <c r="AB100" s="61"/>
    </row>
    <row r="101" spans="1:28" ht="31.5" outlineLevel="1" x14ac:dyDescent="0.25">
      <c r="A101" s="8">
        <f t="shared" si="2"/>
        <v>295</v>
      </c>
      <c r="B101" s="41" t="s">
        <v>400</v>
      </c>
      <c r="C101" s="56" t="s">
        <v>495</v>
      </c>
      <c r="D101" s="42" t="s">
        <v>503</v>
      </c>
      <c r="E101" s="43" t="s">
        <v>498</v>
      </c>
      <c r="F101" s="190">
        <v>0</v>
      </c>
      <c r="G101" s="68"/>
      <c r="H101" s="68"/>
      <c r="I101" s="69"/>
      <c r="K101" s="190"/>
      <c r="L101"/>
      <c r="M101" s="44"/>
      <c r="N101" s="69"/>
      <c r="AA101" s="61"/>
      <c r="AB101" s="61"/>
    </row>
    <row r="102" spans="1:28" outlineLevel="1" x14ac:dyDescent="0.25">
      <c r="A102" s="8">
        <f>A101+1</f>
        <v>296</v>
      </c>
      <c r="B102" s="41" t="s">
        <v>406</v>
      </c>
      <c r="C102" s="155" t="s">
        <v>288</v>
      </c>
      <c r="D102" s="42" t="s">
        <v>402</v>
      </c>
      <c r="E102" s="317" t="s">
        <v>301</v>
      </c>
      <c r="F102" s="190">
        <f>+PLG!F53</f>
        <v>0</v>
      </c>
      <c r="G102" s="68"/>
      <c r="H102" s="68"/>
      <c r="I102" s="69"/>
      <c r="K102" s="190"/>
      <c r="L102"/>
      <c r="M102" s="44"/>
      <c r="N102" s="69"/>
      <c r="AA102" s="61"/>
      <c r="AB102" s="61"/>
    </row>
    <row r="103" spans="1:28" outlineLevel="1" x14ac:dyDescent="0.25">
      <c r="A103" s="8">
        <f t="shared" ref="A103:A121" si="3">A102+1</f>
        <v>297</v>
      </c>
      <c r="B103" s="41" t="s">
        <v>406</v>
      </c>
      <c r="C103" s="56" t="s">
        <v>288</v>
      </c>
      <c r="D103" s="42" t="s">
        <v>411</v>
      </c>
      <c r="E103" s="317" t="s">
        <v>302</v>
      </c>
      <c r="F103" s="190">
        <f>+PLG!F54</f>
        <v>1</v>
      </c>
      <c r="G103" s="68"/>
      <c r="H103" s="68"/>
      <c r="I103" s="69"/>
      <c r="K103" s="190"/>
      <c r="L103"/>
      <c r="M103" s="44"/>
      <c r="N103" s="69"/>
      <c r="AA103" s="61"/>
      <c r="AB103" s="61"/>
    </row>
    <row r="104" spans="1:28" outlineLevel="1" x14ac:dyDescent="0.25">
      <c r="A104" s="8">
        <f t="shared" si="3"/>
        <v>298</v>
      </c>
      <c r="B104" s="41" t="s">
        <v>407</v>
      </c>
      <c r="C104" s="155" t="s">
        <v>187</v>
      </c>
      <c r="D104" s="42" t="s">
        <v>403</v>
      </c>
      <c r="E104" s="43" t="s">
        <v>73</v>
      </c>
      <c r="F104" s="190">
        <v>0</v>
      </c>
      <c r="G104" s="68"/>
      <c r="H104" s="68"/>
      <c r="I104" s="69"/>
      <c r="K104" s="190"/>
      <c r="L104"/>
      <c r="M104" s="44"/>
      <c r="N104" s="69"/>
      <c r="AA104" s="61"/>
      <c r="AB104" s="61"/>
    </row>
    <row r="105" spans="1:28" ht="31.5" outlineLevel="1" x14ac:dyDescent="0.25">
      <c r="A105" s="8">
        <f t="shared" si="3"/>
        <v>299</v>
      </c>
      <c r="B105" s="41" t="s">
        <v>407</v>
      </c>
      <c r="C105" s="56" t="s">
        <v>187</v>
      </c>
      <c r="D105" s="42" t="s">
        <v>404</v>
      </c>
      <c r="E105" s="43" t="s">
        <v>457</v>
      </c>
      <c r="F105" s="190">
        <v>0</v>
      </c>
      <c r="G105" s="68"/>
      <c r="H105" s="68"/>
      <c r="I105" s="69"/>
      <c r="K105" s="190"/>
      <c r="L105"/>
      <c r="M105" s="44"/>
      <c r="N105" s="69"/>
      <c r="AA105" s="61"/>
      <c r="AB105" s="61"/>
    </row>
    <row r="106" spans="1:28" ht="33.950000000000003" customHeight="1" outlineLevel="1" x14ac:dyDescent="0.25">
      <c r="A106" s="8">
        <f t="shared" si="3"/>
        <v>300</v>
      </c>
      <c r="B106" s="41" t="s">
        <v>408</v>
      </c>
      <c r="C106" s="42" t="s">
        <v>500</v>
      </c>
      <c r="D106" s="42" t="s">
        <v>405</v>
      </c>
      <c r="E106" s="43" t="s">
        <v>458</v>
      </c>
      <c r="F106" s="190">
        <v>0</v>
      </c>
      <c r="G106" s="68"/>
      <c r="H106" s="68"/>
      <c r="I106" s="69"/>
      <c r="K106" s="190"/>
      <c r="L106"/>
      <c r="M106" s="44"/>
      <c r="N106" s="69"/>
      <c r="AA106" s="61"/>
      <c r="AB106" s="61"/>
    </row>
    <row r="107" spans="1:28" outlineLevel="1" x14ac:dyDescent="0.25">
      <c r="A107" s="8">
        <f t="shared" si="3"/>
        <v>301</v>
      </c>
      <c r="B107" s="41" t="s">
        <v>409</v>
      </c>
      <c r="C107" s="42" t="s">
        <v>289</v>
      </c>
      <c r="D107" s="316" t="s">
        <v>504</v>
      </c>
      <c r="E107" s="317" t="s">
        <v>303</v>
      </c>
      <c r="F107" s="190">
        <f>+IDP!F47</f>
        <v>1</v>
      </c>
      <c r="G107" s="68"/>
      <c r="H107" s="68"/>
      <c r="I107" s="69"/>
      <c r="K107" s="190"/>
      <c r="L107"/>
      <c r="M107" s="44"/>
      <c r="N107" s="69"/>
      <c r="AA107" s="61"/>
      <c r="AB107" s="61"/>
    </row>
    <row r="108" spans="1:28" ht="24.95" customHeight="1" x14ac:dyDescent="0.25">
      <c r="B108" s="62">
        <v>10</v>
      </c>
      <c r="C108" s="63" t="s">
        <v>704</v>
      </c>
      <c r="D108" s="64"/>
      <c r="E108" s="65"/>
      <c r="F108" s="66">
        <f>IFERROR(SUMIF(F109:F110,1,F109:F110)/SUM(COUNTIF(F109:F110,1),COUNTIF(F109:F110,0)),0)</f>
        <v>0</v>
      </c>
      <c r="G108" s="66"/>
      <c r="H108" s="66"/>
      <c r="I108" s="66"/>
      <c r="K108" s="66">
        <f>IFERROR(SUMIF(K109:K110,1,K109:K110)/SUM(COUNTIF(K109:K110,1),COUNTIF(K109:K110,0)),0)</f>
        <v>0</v>
      </c>
      <c r="L108"/>
      <c r="M108" s="66">
        <f>IFERROR(SUMIF(M109:M110,1,M109:M110)/SUM(COUNTIF(M109:M110,1),COUNTIF(M109:M110,0)),0)</f>
        <v>0</v>
      </c>
      <c r="N108" s="66"/>
      <c r="AA108" s="60">
        <v>2.5000000000000001E-2</v>
      </c>
      <c r="AB108" s="60">
        <f>+AA108/$AB$3</f>
        <v>6.2499999999999993E-2</v>
      </c>
    </row>
    <row r="109" spans="1:28" ht="47.25" outlineLevel="1" x14ac:dyDescent="0.25">
      <c r="A109" s="8">
        <f>A107+1</f>
        <v>302</v>
      </c>
      <c r="B109" s="41" t="s">
        <v>330</v>
      </c>
      <c r="C109" s="42" t="s">
        <v>715</v>
      </c>
      <c r="D109" s="42" t="s">
        <v>192</v>
      </c>
      <c r="E109" s="43" t="s">
        <v>839</v>
      </c>
      <c r="F109" s="190">
        <v>0</v>
      </c>
      <c r="G109" s="68"/>
      <c r="H109" s="68" t="s">
        <v>763</v>
      </c>
      <c r="I109" s="69"/>
      <c r="K109" s="190"/>
      <c r="L109"/>
      <c r="M109" s="44"/>
      <c r="N109" s="69"/>
      <c r="AA109" s="61"/>
      <c r="AB109" s="61"/>
    </row>
    <row r="110" spans="1:28" ht="63" outlineLevel="1" x14ac:dyDescent="0.25">
      <c r="A110" s="8">
        <f t="shared" si="3"/>
        <v>303</v>
      </c>
      <c r="B110" s="41" t="s">
        <v>331</v>
      </c>
      <c r="C110" s="42" t="s">
        <v>716</v>
      </c>
      <c r="D110" s="42" t="s">
        <v>188</v>
      </c>
      <c r="E110" s="43" t="s">
        <v>707</v>
      </c>
      <c r="F110" s="190">
        <v>0</v>
      </c>
      <c r="G110" s="68"/>
      <c r="H110" s="68" t="s">
        <v>763</v>
      </c>
      <c r="I110" s="69"/>
      <c r="K110" s="190"/>
      <c r="L110"/>
      <c r="M110" s="44"/>
      <c r="N110" s="69"/>
      <c r="AA110" s="61"/>
      <c r="AB110" s="61"/>
    </row>
    <row r="111" spans="1:28" ht="24.95" customHeight="1" x14ac:dyDescent="0.25">
      <c r="B111" s="62">
        <v>11</v>
      </c>
      <c r="C111" s="63" t="s">
        <v>705</v>
      </c>
      <c r="D111" s="64"/>
      <c r="E111" s="65"/>
      <c r="F111" s="66">
        <f>IFERROR(SUMIF(F112:F114,1,F112:F114)/SUM(COUNTIF(F112:F114,1),COUNTIF(F112:F114,0)),0)</f>
        <v>0</v>
      </c>
      <c r="G111" s="66"/>
      <c r="H111" s="66"/>
      <c r="I111" s="66"/>
      <c r="K111" s="66">
        <f>IFERROR(SUMIF(K112:K114,1,K112:K114)/SUM(COUNTIF(K112:K114,1),COUNTIF(K112:K114,0)),0)</f>
        <v>0</v>
      </c>
      <c r="L111"/>
      <c r="M111" s="66">
        <f>IFERROR(SUMIF(M112:M114,1,M112:M114)/SUM(COUNTIF(M112:M114,1),COUNTIF(M112:M114,0)),0)</f>
        <v>0</v>
      </c>
      <c r="N111" s="66"/>
      <c r="AA111" s="60">
        <v>2.5000000000000001E-2</v>
      </c>
      <c r="AB111" s="60">
        <f>+AA111/$AB$3</f>
        <v>6.2499999999999993E-2</v>
      </c>
    </row>
    <row r="112" spans="1:28" ht="47.25" outlineLevel="1" x14ac:dyDescent="0.25">
      <c r="A112" s="8">
        <f>A110+1</f>
        <v>304</v>
      </c>
      <c r="B112" s="41" t="s">
        <v>332</v>
      </c>
      <c r="C112" s="155" t="s">
        <v>717</v>
      </c>
      <c r="D112" s="42" t="s">
        <v>190</v>
      </c>
      <c r="E112" s="43" t="s">
        <v>708</v>
      </c>
      <c r="F112" s="190">
        <v>0</v>
      </c>
      <c r="G112" s="68"/>
      <c r="H112" s="68" t="s">
        <v>763</v>
      </c>
      <c r="I112" s="69"/>
      <c r="K112" s="190"/>
      <c r="L112"/>
      <c r="M112" s="44"/>
      <c r="N112" s="69"/>
      <c r="AA112" s="61"/>
      <c r="AB112" s="61"/>
    </row>
    <row r="113" spans="1:28" ht="78.75" outlineLevel="1" x14ac:dyDescent="0.25">
      <c r="A113" s="8">
        <f t="shared" si="3"/>
        <v>305</v>
      </c>
      <c r="B113" s="41" t="s">
        <v>332</v>
      </c>
      <c r="C113" s="56" t="s">
        <v>717</v>
      </c>
      <c r="D113" s="42" t="s">
        <v>191</v>
      </c>
      <c r="E113" s="43" t="s">
        <v>945</v>
      </c>
      <c r="F113" s="190">
        <v>0</v>
      </c>
      <c r="G113" s="68"/>
      <c r="H113" s="68" t="s">
        <v>763</v>
      </c>
      <c r="I113" s="69"/>
      <c r="K113" s="190"/>
      <c r="L113"/>
      <c r="M113" s="44"/>
      <c r="N113" s="69"/>
      <c r="AA113" s="61"/>
      <c r="AB113" s="61"/>
    </row>
    <row r="114" spans="1:28" ht="47.25" outlineLevel="1" x14ac:dyDescent="0.25">
      <c r="A114" s="8">
        <f t="shared" si="3"/>
        <v>306</v>
      </c>
      <c r="B114" s="41" t="s">
        <v>333</v>
      </c>
      <c r="C114" s="42" t="s">
        <v>718</v>
      </c>
      <c r="D114" s="42" t="s">
        <v>189</v>
      </c>
      <c r="E114" s="43" t="s">
        <v>840</v>
      </c>
      <c r="F114" s="190">
        <v>0</v>
      </c>
      <c r="G114" s="68"/>
      <c r="H114" s="68" t="s">
        <v>763</v>
      </c>
      <c r="I114" s="69"/>
      <c r="K114" s="190"/>
      <c r="L114"/>
      <c r="M114" s="44"/>
      <c r="N114" s="69"/>
      <c r="AA114" s="61"/>
      <c r="AB114" s="61"/>
    </row>
    <row r="115" spans="1:28" ht="24.95" customHeight="1" x14ac:dyDescent="0.25">
      <c r="B115" s="62">
        <v>12</v>
      </c>
      <c r="C115" s="63" t="s">
        <v>706</v>
      </c>
      <c r="D115" s="64"/>
      <c r="E115" s="65"/>
      <c r="F115" s="66">
        <f>IFERROR(SUMIF(F116:F121,1,F116:F121)/SUM(COUNTIF(F116:F121,1),COUNTIF(F116:F121,0)),0)</f>
        <v>0</v>
      </c>
      <c r="G115" s="66"/>
      <c r="H115" s="66"/>
      <c r="I115" s="66"/>
      <c r="K115" s="66">
        <f>IFERROR(SUMIF(K116:K121,1,K116:K121)/SUM(COUNTIF(K116:K121,1),COUNTIF(K116:K121,0)),0)</f>
        <v>0</v>
      </c>
      <c r="L115"/>
      <c r="M115" s="66">
        <f>IFERROR(SUMIF(M116:M121,1,M116:M121)/SUM(COUNTIF(M116:M121,1),COUNTIF(M116:M121,0)),0)</f>
        <v>0</v>
      </c>
      <c r="N115" s="66"/>
      <c r="AA115" s="60">
        <v>0.05</v>
      </c>
      <c r="AB115" s="60">
        <f>+AA115/$AB$3</f>
        <v>0.12499999999999999</v>
      </c>
    </row>
    <row r="116" spans="1:28" outlineLevel="1" x14ac:dyDescent="0.25">
      <c r="A116" s="8">
        <f>A114+1</f>
        <v>307</v>
      </c>
      <c r="B116" s="41" t="s">
        <v>362</v>
      </c>
      <c r="C116" s="158" t="s">
        <v>719</v>
      </c>
      <c r="D116" s="42" t="s">
        <v>180</v>
      </c>
      <c r="E116" s="43" t="s">
        <v>946</v>
      </c>
      <c r="F116" s="190">
        <v>0</v>
      </c>
      <c r="G116" s="68"/>
      <c r="H116" s="68" t="s">
        <v>763</v>
      </c>
      <c r="I116" s="69"/>
      <c r="K116" s="190"/>
      <c r="L116"/>
      <c r="M116" s="44"/>
      <c r="N116" s="69"/>
      <c r="AA116" s="61"/>
      <c r="AB116" s="61"/>
    </row>
    <row r="117" spans="1:28" ht="31.5" outlineLevel="1" x14ac:dyDescent="0.25">
      <c r="A117" s="8">
        <f t="shared" si="3"/>
        <v>308</v>
      </c>
      <c r="B117" s="41" t="s">
        <v>362</v>
      </c>
      <c r="C117" s="159" t="s">
        <v>719</v>
      </c>
      <c r="D117" s="42" t="s">
        <v>830</v>
      </c>
      <c r="E117" s="43" t="s">
        <v>837</v>
      </c>
      <c r="F117" s="190">
        <v>0</v>
      </c>
      <c r="G117" s="68" t="s">
        <v>746</v>
      </c>
      <c r="H117" s="68"/>
      <c r="I117" s="69"/>
      <c r="K117" s="190"/>
      <c r="L117"/>
      <c r="M117" s="44"/>
      <c r="N117" s="69"/>
      <c r="AA117" s="61"/>
      <c r="AB117" s="61"/>
    </row>
    <row r="118" spans="1:28" outlineLevel="1" x14ac:dyDescent="0.25">
      <c r="A118" s="8">
        <f t="shared" si="3"/>
        <v>309</v>
      </c>
      <c r="B118" s="41" t="s">
        <v>362</v>
      </c>
      <c r="C118" s="156" t="s">
        <v>719</v>
      </c>
      <c r="D118" s="42" t="s">
        <v>709</v>
      </c>
      <c r="E118" s="43" t="s">
        <v>947</v>
      </c>
      <c r="F118" s="190">
        <v>0</v>
      </c>
      <c r="G118" s="75"/>
      <c r="H118" s="68" t="s">
        <v>763</v>
      </c>
      <c r="I118" s="69"/>
      <c r="K118" s="190"/>
      <c r="L118"/>
      <c r="M118" s="44"/>
      <c r="N118" s="69"/>
      <c r="AA118" s="61"/>
      <c r="AB118" s="61"/>
    </row>
    <row r="119" spans="1:28" ht="31.5" outlineLevel="1" x14ac:dyDescent="0.25">
      <c r="A119" s="8">
        <f t="shared" si="3"/>
        <v>310</v>
      </c>
      <c r="B119" s="41" t="s">
        <v>362</v>
      </c>
      <c r="C119" s="159" t="s">
        <v>719</v>
      </c>
      <c r="D119" s="42" t="s">
        <v>831</v>
      </c>
      <c r="E119" s="43" t="s">
        <v>712</v>
      </c>
      <c r="F119" s="190">
        <v>0</v>
      </c>
      <c r="G119" s="68" t="s">
        <v>746</v>
      </c>
      <c r="H119" s="68"/>
      <c r="I119" s="69"/>
      <c r="K119" s="190"/>
      <c r="L119"/>
      <c r="M119" s="44"/>
      <c r="N119" s="69"/>
      <c r="AA119" s="61"/>
      <c r="AB119" s="61"/>
    </row>
    <row r="120" spans="1:28" outlineLevel="1" x14ac:dyDescent="0.25">
      <c r="A120" s="8">
        <f t="shared" si="3"/>
        <v>311</v>
      </c>
      <c r="B120" s="41" t="s">
        <v>362</v>
      </c>
      <c r="C120" s="159" t="s">
        <v>719</v>
      </c>
      <c r="D120" s="42" t="s">
        <v>710</v>
      </c>
      <c r="E120" s="315" t="s">
        <v>713</v>
      </c>
      <c r="F120" s="190" t="s">
        <v>142</v>
      </c>
      <c r="G120" s="68"/>
      <c r="H120" s="68" t="s">
        <v>961</v>
      </c>
      <c r="I120" s="69"/>
      <c r="K120" s="190" t="s">
        <v>142</v>
      </c>
      <c r="L120"/>
      <c r="M120" s="44"/>
      <c r="N120" s="69"/>
      <c r="AA120" s="61"/>
      <c r="AB120" s="61"/>
    </row>
    <row r="121" spans="1:28" ht="31.5" outlineLevel="1" x14ac:dyDescent="0.25">
      <c r="A121" s="8">
        <f t="shared" si="3"/>
        <v>312</v>
      </c>
      <c r="B121" s="41" t="s">
        <v>362</v>
      </c>
      <c r="C121" s="56" t="s">
        <v>719</v>
      </c>
      <c r="D121" s="42" t="s">
        <v>711</v>
      </c>
      <c r="E121" s="43" t="s">
        <v>714</v>
      </c>
      <c r="F121" s="190">
        <v>0</v>
      </c>
      <c r="G121" s="68"/>
      <c r="H121" s="68" t="s">
        <v>763</v>
      </c>
      <c r="I121" s="69"/>
      <c r="K121" s="190"/>
      <c r="L121"/>
      <c r="M121" s="44"/>
      <c r="N121" s="69"/>
      <c r="AA121" s="61"/>
      <c r="AB121" s="61"/>
    </row>
    <row r="122" spans="1:28" x14ac:dyDescent="0.25">
      <c r="L122"/>
      <c r="M122"/>
      <c r="N122"/>
    </row>
    <row r="123" spans="1:28" x14ac:dyDescent="0.25">
      <c r="L123"/>
      <c r="M123"/>
      <c r="N123"/>
    </row>
    <row r="124" spans="1:28" x14ac:dyDescent="0.25">
      <c r="L124"/>
      <c r="M124"/>
      <c r="N124"/>
    </row>
  </sheetData>
  <sheetProtection autoFilter="0"/>
  <autoFilter ref="A7:I121" xr:uid="{00000000-0009-0000-0000-000004000000}"/>
  <mergeCells count="1">
    <mergeCell ref="AA5:AB5"/>
  </mergeCells>
  <conditionalFormatting sqref="A1:A5 A109:A110 A112:A114 A68:A95 A116:A1048576 A9:A34 A36:A66 A97:A107">
    <cfRule type="duplicateValues" dxfId="116" priority="287"/>
  </conditionalFormatting>
  <conditionalFormatting sqref="A6:A8">
    <cfRule type="duplicateValues" dxfId="115" priority="210"/>
  </conditionalFormatting>
  <conditionalFormatting sqref="A35">
    <cfRule type="duplicateValues" dxfId="114" priority="209"/>
  </conditionalFormatting>
  <conditionalFormatting sqref="A67">
    <cfRule type="duplicateValues" dxfId="113" priority="208"/>
  </conditionalFormatting>
  <conditionalFormatting sqref="A96">
    <cfRule type="duplicateValues" dxfId="112" priority="207"/>
  </conditionalFormatting>
  <conditionalFormatting sqref="A108">
    <cfRule type="duplicateValues" dxfId="111" priority="206"/>
  </conditionalFormatting>
  <conditionalFormatting sqref="A111">
    <cfRule type="duplicateValues" dxfId="110" priority="205"/>
  </conditionalFormatting>
  <conditionalFormatting sqref="A115">
    <cfRule type="duplicateValues" dxfId="109" priority="204"/>
  </conditionalFormatting>
  <conditionalFormatting sqref="F9:F34">
    <cfRule type="containsText" dxfId="108" priority="26" operator="containsText" text="NA - 1">
      <formula>NOT(ISERROR(SEARCH("NA - 1",F9)))</formula>
    </cfRule>
    <cfRule type="containsText" dxfId="107" priority="27" operator="containsText" text="NA - 0">
      <formula>NOT(ISERROR(SEARCH("NA - 0",F9)))</formula>
    </cfRule>
    <cfRule type="containsText" dxfId="106" priority="28" operator="containsText" text="N/A">
      <formula>NOT(ISERROR(SEARCH("N/A",F9)))</formula>
    </cfRule>
    <cfRule type="containsText" dxfId="105" priority="29" operator="containsText" text="0">
      <formula>NOT(ISERROR(SEARCH("0",F9)))</formula>
    </cfRule>
    <cfRule type="containsText" dxfId="104" priority="33" operator="containsText" text="1">
      <formula>NOT(ISERROR(SEARCH("1",F9)))</formula>
    </cfRule>
  </conditionalFormatting>
  <conditionalFormatting sqref="F36:F66">
    <cfRule type="containsText" dxfId="103" priority="37" operator="containsText" text="0">
      <formula>NOT(ISERROR(SEARCH("0",F36)))</formula>
    </cfRule>
    <cfRule type="containsText" dxfId="102" priority="41" operator="containsText" text="1">
      <formula>NOT(ISERROR(SEARCH("1",F36)))</formula>
    </cfRule>
    <cfRule type="containsText" dxfId="101" priority="35" operator="containsText" text="NA - 0">
      <formula>NOT(ISERROR(SEARCH("NA - 0",F36)))</formula>
    </cfRule>
    <cfRule type="containsText" dxfId="100" priority="34" operator="containsText" text="NA - 1">
      <formula>NOT(ISERROR(SEARCH("NA - 1",F36)))</formula>
    </cfRule>
    <cfRule type="containsText" dxfId="99" priority="36" operator="containsText" text="N/A">
      <formula>NOT(ISERROR(SEARCH("N/A",F36)))</formula>
    </cfRule>
  </conditionalFormatting>
  <conditionalFormatting sqref="F68:F95">
    <cfRule type="containsText" dxfId="98" priority="17" operator="containsText" text="NA - 0">
      <formula>NOT(ISERROR(SEARCH("NA - 0",F68)))</formula>
    </cfRule>
    <cfRule type="containsText" dxfId="97" priority="16" operator="containsText" text="NA - 1">
      <formula>NOT(ISERROR(SEARCH("NA - 1",F68)))</formula>
    </cfRule>
    <cfRule type="containsText" dxfId="96" priority="18" operator="containsText" text="N/A">
      <formula>NOT(ISERROR(SEARCH("N/A",F68)))</formula>
    </cfRule>
    <cfRule type="containsText" dxfId="95" priority="19" operator="containsText" text="0">
      <formula>NOT(ISERROR(SEARCH("0",F68)))</formula>
    </cfRule>
    <cfRule type="containsText" dxfId="94" priority="20" operator="containsText" text="1">
      <formula>NOT(ISERROR(SEARCH("1",F68)))</formula>
    </cfRule>
  </conditionalFormatting>
  <conditionalFormatting sqref="F97:F107">
    <cfRule type="containsText" dxfId="93" priority="11" operator="containsText" text="NA - 1">
      <formula>NOT(ISERROR(SEARCH("NA - 1",F97)))</formula>
    </cfRule>
    <cfRule type="containsText" dxfId="92" priority="12" operator="containsText" text="NA - 0">
      <formula>NOT(ISERROR(SEARCH("NA - 0",F97)))</formula>
    </cfRule>
    <cfRule type="containsText" dxfId="91" priority="13" operator="containsText" text="N/A">
      <formula>NOT(ISERROR(SEARCH("N/A",F97)))</formula>
    </cfRule>
    <cfRule type="containsText" dxfId="90" priority="14" operator="containsText" text="0">
      <formula>NOT(ISERROR(SEARCH("0",F97)))</formula>
    </cfRule>
    <cfRule type="containsText" dxfId="89" priority="15" operator="containsText" text="1">
      <formula>NOT(ISERROR(SEARCH("1",F97)))</formula>
    </cfRule>
  </conditionalFormatting>
  <conditionalFormatting sqref="F109:F110 F112:F114">
    <cfRule type="containsText" dxfId="88" priority="10" operator="containsText" text="1">
      <formula>NOT(ISERROR(SEARCH("1",F109)))</formula>
    </cfRule>
    <cfRule type="containsText" dxfId="87" priority="9" operator="containsText" text="0">
      <formula>NOT(ISERROR(SEARCH("0",F109)))</formula>
    </cfRule>
    <cfRule type="containsText" dxfId="86" priority="6" operator="containsText" text="NA - 1">
      <formula>NOT(ISERROR(SEARCH("NA - 1",F109)))</formula>
    </cfRule>
    <cfRule type="containsText" dxfId="85" priority="7" operator="containsText" text="NA - 0">
      <formula>NOT(ISERROR(SEARCH("NA - 0",F109)))</formula>
    </cfRule>
    <cfRule type="containsText" dxfId="84" priority="8" operator="containsText" text="N/A">
      <formula>NOT(ISERROR(SEARCH("N/A",F109)))</formula>
    </cfRule>
  </conditionalFormatting>
  <conditionalFormatting sqref="F116:F121">
    <cfRule type="containsText" dxfId="83" priority="2" operator="containsText" text="NA - 0">
      <formula>NOT(ISERROR(SEARCH("NA - 0",F116)))</formula>
    </cfRule>
    <cfRule type="containsText" dxfId="82" priority="3" operator="containsText" text="N/A">
      <formula>NOT(ISERROR(SEARCH("N/A",F116)))</formula>
    </cfRule>
    <cfRule type="containsText" dxfId="81" priority="4" operator="containsText" text="0">
      <formula>NOT(ISERROR(SEARCH("0",F116)))</formula>
    </cfRule>
    <cfRule type="containsText" dxfId="80" priority="1" operator="containsText" text="NA - 1">
      <formula>NOT(ISERROR(SEARCH("NA - 1",F116)))</formula>
    </cfRule>
    <cfRule type="containsText" dxfId="79" priority="5" operator="containsText" text="1">
      <formula>NOT(ISERROR(SEARCH("1",F116)))</formula>
    </cfRule>
  </conditionalFormatting>
  <conditionalFormatting sqref="G9:H21 G25:H34 G50:H53 H68:H95 G76:G95 G116:H121">
    <cfRule type="containsText" dxfId="78" priority="238" operator="containsText" text="1">
      <formula>NOT(ISERROR(SEARCH(("1"),(G9))))</formula>
    </cfRule>
  </conditionalFormatting>
  <conditionalFormatting sqref="G10:H21">
    <cfRule type="containsText" dxfId="77" priority="239" operator="containsText" text="1">
      <formula>NOT(ISERROR(SEARCH(("1"),(G10))))</formula>
    </cfRule>
  </conditionalFormatting>
  <conditionalFormatting sqref="G34:H34">
    <cfRule type="containsText" dxfId="76" priority="240" operator="containsText" text="1">
      <formula>NOT(ISERROR(SEARCH(("1"),(G34))))</formula>
    </cfRule>
    <cfRule type="containsText" dxfId="75" priority="241" operator="containsText" text="1">
      <formula>NOT(ISERROR(SEARCH(("1"),(G34))))</formula>
    </cfRule>
    <cfRule type="containsText" dxfId="74" priority="242" operator="containsText" text="1">
      <formula>NOT(ISERROR(SEARCH(("1"),(G34))))</formula>
    </cfRule>
    <cfRule type="containsText" dxfId="73" priority="243" operator="containsText" text="1">
      <formula>NOT(ISERROR(SEARCH(("1"),(G34))))</formula>
    </cfRule>
    <cfRule type="containsText" dxfId="72" priority="244" operator="containsText" text="1">
      <formula>NOT(ISERROR(SEARCH(("1"),(G34))))</formula>
    </cfRule>
    <cfRule type="containsText" dxfId="71" priority="245" operator="containsText" text="1">
      <formula>NOT(ISERROR(SEARCH(("1"),(G34))))</formula>
    </cfRule>
    <cfRule type="containsText" dxfId="70" priority="246" operator="containsText" text="1">
      <formula>NOT(ISERROR(SEARCH(("1"),(G34))))</formula>
    </cfRule>
  </conditionalFormatting>
  <conditionalFormatting sqref="G36:H36">
    <cfRule type="containsText" dxfId="69" priority="247" operator="containsText" text="1">
      <formula>NOT(ISERROR(SEARCH(("1"),(G36))))</formula>
    </cfRule>
  </conditionalFormatting>
  <conditionalFormatting sqref="G41:H42">
    <cfRule type="containsText" dxfId="68" priority="248" operator="containsText" text="1">
      <formula>NOT(ISERROR(SEARCH(("1"),(G41))))</formula>
    </cfRule>
  </conditionalFormatting>
  <conditionalFormatting sqref="G64:H66">
    <cfRule type="containsText" dxfId="67" priority="249" operator="containsText" text="1">
      <formula>NOT(ISERROR(SEARCH(("1"),(G64))))</formula>
    </cfRule>
  </conditionalFormatting>
  <conditionalFormatting sqref="G66:H66">
    <cfRule type="containsText" dxfId="66" priority="250" operator="containsText" text="1">
      <formula>NOT(ISERROR(SEARCH(("1"),(G66))))</formula>
    </cfRule>
    <cfRule type="containsText" dxfId="65" priority="251" operator="containsText" text="1">
      <formula>NOT(ISERROR(SEARCH(("1"),(G66))))</formula>
    </cfRule>
    <cfRule type="containsText" dxfId="64" priority="252" operator="containsText" text="1">
      <formula>NOT(ISERROR(SEARCH(("1"),(G66))))</formula>
    </cfRule>
    <cfRule type="containsText" dxfId="63" priority="253" operator="containsText" text="1">
      <formula>NOT(ISERROR(SEARCH(("1"),(G66))))</formula>
    </cfRule>
    <cfRule type="containsText" dxfId="62" priority="254" operator="containsText" text="1">
      <formula>NOT(ISERROR(SEARCH(("1"),(G66))))</formula>
    </cfRule>
  </conditionalFormatting>
  <conditionalFormatting sqref="G97:H107">
    <cfRule type="containsText" dxfId="61" priority="236" operator="containsText" text="1">
      <formula>NOT(ISERROR(SEARCH(("1"),(G97))))</formula>
    </cfRule>
  </conditionalFormatting>
  <conditionalFormatting sqref="G109:H110">
    <cfRule type="containsText" dxfId="60" priority="235" operator="containsText" text="1">
      <formula>NOT(ISERROR(SEARCH(("1"),(G109))))</formula>
    </cfRule>
  </conditionalFormatting>
  <conditionalFormatting sqref="G112:H114">
    <cfRule type="containsText" dxfId="59" priority="237" operator="containsText" text="1">
      <formula>NOT(ISERROR(SEARCH(("1"),(G112))))</formula>
    </cfRule>
  </conditionalFormatting>
  <conditionalFormatting sqref="K9:K34 M9:M34 K36:K66 M36:M66 K68:K95 M68:M95 M97:M107 M109:M110 M112:M114 M116:M143 M145:M178 M180:M208 M210:M220 M222:M223 M225:M227 M229:M235">
    <cfRule type="containsText" dxfId="58" priority="110" operator="containsText" text="0">
      <formula>NOT(ISERROR(SEARCH("0",K9)))</formula>
    </cfRule>
    <cfRule type="containsText" dxfId="57" priority="114" operator="containsText" text="1">
      <formula>NOT(ISERROR(SEARCH("1",K9)))</formula>
    </cfRule>
  </conditionalFormatting>
  <conditionalFormatting sqref="K97:K107">
    <cfRule type="containsText" dxfId="56" priority="106" operator="containsText" text="0">
      <formula>NOT(ISERROR(SEARCH("0",K97)))</formula>
    </cfRule>
    <cfRule type="containsText" dxfId="55" priority="107" operator="containsText" text="1">
      <formula>NOT(ISERROR(SEARCH("1",K97)))</formula>
    </cfRule>
  </conditionalFormatting>
  <conditionalFormatting sqref="K109:K110">
    <cfRule type="containsText" dxfId="54" priority="105" operator="containsText" text="1">
      <formula>NOT(ISERROR(SEARCH("1",K109)))</formula>
    </cfRule>
    <cfRule type="containsText" dxfId="53" priority="104" operator="containsText" text="0">
      <formula>NOT(ISERROR(SEARCH("0",K109)))</formula>
    </cfRule>
  </conditionalFormatting>
  <conditionalFormatting sqref="K112:K114">
    <cfRule type="containsText" dxfId="52" priority="103" operator="containsText" text="1">
      <formula>NOT(ISERROR(SEARCH("1",K112)))</formula>
    </cfRule>
    <cfRule type="containsText" dxfId="51" priority="102" operator="containsText" text="0">
      <formula>NOT(ISERROR(SEARCH("0",K112)))</formula>
    </cfRule>
  </conditionalFormatting>
  <conditionalFormatting sqref="K116:K121">
    <cfRule type="containsText" dxfId="50" priority="101" operator="containsText" text="1">
      <formula>NOT(ISERROR(SEARCH("1",K116)))</formula>
    </cfRule>
    <cfRule type="containsText" dxfId="49" priority="100" operator="containsText" text="0">
      <formula>NOT(ISERROR(SEARCH("0",K116)))</formula>
    </cfRule>
  </conditionalFormatting>
  <dataValidations count="3">
    <dataValidation type="decimal" allowBlank="1" showErrorMessage="1" sqref="M116:M121 M36:M66 M9:M34 M68:M95 M112:M114 M109:M110 M97:M107" xr:uid="{C5A64A6E-99D7-464D-81CA-037F2D336EA4}">
      <formula1>0</formula1>
      <formula2>1</formula2>
    </dataValidation>
    <dataValidation type="list" showErrorMessage="1" sqref="K112:K114 K9:K34 K97:K107 K68:K95 K116:K121 K36:K66 K109:K110" xr:uid="{042E9FF8-5AA0-458D-A79F-12A98F35BA88}">
      <formula1>$AO$1:$AO$3</formula1>
    </dataValidation>
    <dataValidation type="list" showErrorMessage="1" sqref="F109:F110 F112:F114 F9:F34 F50:F66 F68:F95 F97:F107 F36:F42 F116:F121" xr:uid="{7F2CEF8A-6EE8-4F0F-8C0C-3330252D424F}">
      <formula1>$AO$1:$AO$5</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C5E90-46B7-45B7-BE2F-D7004EA0364C}">
  <sheetPr>
    <tabColor theme="6" tint="0.39997558519241921"/>
  </sheetPr>
  <dimension ref="A1:AO24"/>
  <sheetViews>
    <sheetView showGridLines="0" topLeftCell="A2" zoomScale="70" zoomScaleNormal="70" workbookViewId="0">
      <pane xSplit="2" ySplit="5" topLeftCell="C20" activePane="bottomRight" state="frozen"/>
      <selection activeCell="F7" sqref="F7"/>
      <selection pane="topRight" activeCell="F7" sqref="F7"/>
      <selection pane="bottomLeft" activeCell="F7" sqref="F7"/>
      <selection pane="bottomRight" activeCell="F7" sqref="F7"/>
    </sheetView>
  </sheetViews>
  <sheetFormatPr baseColWidth="10" defaultColWidth="11" defaultRowHeight="15.75" outlineLevelRow="1" x14ac:dyDescent="0.25"/>
  <cols>
    <col min="1" max="1" width="4.375" style="8" bestFit="1" customWidth="1"/>
    <col min="2" max="2" width="8.125" style="19" customWidth="1"/>
    <col min="3" max="3" width="27.125" style="1" customWidth="1"/>
    <col min="4" max="4" width="8.625" style="9" customWidth="1"/>
    <col min="5" max="5" width="72.5" customWidth="1"/>
    <col min="6" max="6" width="9.875" style="1" customWidth="1"/>
    <col min="7" max="7" width="11" style="1" customWidth="1"/>
    <col min="8" max="8" width="6.75" style="1" bestFit="1" customWidth="1"/>
    <col min="9" max="9" width="41.375" style="1" customWidth="1"/>
    <col min="10" max="10" width="3.375" customWidth="1"/>
    <col min="11" max="11" width="8.875" style="1" customWidth="1"/>
    <col min="12" max="12" width="10.625" style="1" bestFit="1" customWidth="1"/>
    <col min="13" max="13" width="9.125" style="1" customWidth="1"/>
    <col min="14" max="14" width="28.625" style="1" customWidth="1"/>
    <col min="15" max="26" width="3.875" customWidth="1"/>
    <col min="27" max="27" width="10.5" customWidth="1"/>
    <col min="28" max="28" width="10.5" style="1" customWidth="1"/>
  </cols>
  <sheetData>
    <row r="1" spans="1:41" x14ac:dyDescent="0.25">
      <c r="AO1">
        <v>0</v>
      </c>
    </row>
    <row r="2" spans="1:41" ht="36" x14ac:dyDescent="0.55000000000000004">
      <c r="B2" s="67"/>
      <c r="D2" s="67"/>
      <c r="F2" s="50" t="s">
        <v>853</v>
      </c>
      <c r="J2" s="1"/>
      <c r="K2" s="50" t="s">
        <v>854</v>
      </c>
      <c r="M2" s="50" t="str">
        <f>+M6</f>
        <v>EV24</v>
      </c>
      <c r="AO2">
        <v>1</v>
      </c>
    </row>
    <row r="3" spans="1:41" ht="21.75" customHeight="1" x14ac:dyDescent="0.5">
      <c r="B3" s="39"/>
      <c r="D3" s="39"/>
      <c r="E3" s="49" t="s">
        <v>858</v>
      </c>
      <c r="F3" s="52">
        <f>+F8*AB8+F19*AB19</f>
        <v>0.45</v>
      </c>
      <c r="K3" s="52">
        <f>+K8*AB8+K19*AB19</f>
        <v>0</v>
      </c>
      <c r="M3" s="52">
        <f>+M8*AB8+M19*AB19</f>
        <v>0</v>
      </c>
      <c r="AA3" s="53" t="s">
        <v>858</v>
      </c>
      <c r="AB3" s="54">
        <f>+AA8+AA19</f>
        <v>0.1</v>
      </c>
      <c r="AO3" t="s">
        <v>142</v>
      </c>
    </row>
    <row r="4" spans="1:41" ht="21.75" customHeight="1" x14ac:dyDescent="0.7">
      <c r="B4" s="40"/>
      <c r="E4" s="49" t="s">
        <v>860</v>
      </c>
      <c r="F4" s="52">
        <f>+F8*AA8+F19*AA19</f>
        <v>4.5000000000000005E-2</v>
      </c>
      <c r="G4" s="154"/>
      <c r="K4" s="52">
        <f>+K8*AA8+K19*AA19</f>
        <v>0</v>
      </c>
      <c r="M4" s="52">
        <f>+M8*AA8+M19*AA19</f>
        <v>0</v>
      </c>
      <c r="AO4" t="s">
        <v>1229</v>
      </c>
    </row>
    <row r="5" spans="1:41" ht="36" x14ac:dyDescent="0.55000000000000004">
      <c r="B5" s="67" t="s">
        <v>897</v>
      </c>
      <c r="L5"/>
      <c r="AA5" s="411" t="s">
        <v>856</v>
      </c>
      <c r="AB5" s="412"/>
      <c r="AO5" t="s">
        <v>1230</v>
      </c>
    </row>
    <row r="6" spans="1:41" ht="18.75" x14ac:dyDescent="0.25">
      <c r="B6" s="49" t="s">
        <v>4</v>
      </c>
      <c r="C6" s="49" t="s">
        <v>153</v>
      </c>
      <c r="D6" s="49"/>
      <c r="E6" s="49" t="s">
        <v>118</v>
      </c>
      <c r="F6" s="50" t="s">
        <v>853</v>
      </c>
      <c r="G6" s="49" t="s">
        <v>743</v>
      </c>
      <c r="H6" s="49" t="s">
        <v>761</v>
      </c>
      <c r="I6" s="49" t="s">
        <v>514</v>
      </c>
      <c r="K6" s="50" t="s">
        <v>952</v>
      </c>
      <c r="L6"/>
      <c r="M6" s="50" t="s">
        <v>841</v>
      </c>
      <c r="N6" s="49" t="s">
        <v>855</v>
      </c>
      <c r="AA6" s="53" t="s">
        <v>859</v>
      </c>
      <c r="AB6" s="53" t="s">
        <v>857</v>
      </c>
    </row>
    <row r="7" spans="1:41" ht="8.25" customHeight="1" x14ac:dyDescent="0.25">
      <c r="L7"/>
    </row>
    <row r="8" spans="1:41" ht="24.95" customHeight="1" x14ac:dyDescent="0.25">
      <c r="B8" s="62">
        <v>13</v>
      </c>
      <c r="C8" s="63" t="s">
        <v>19</v>
      </c>
      <c r="D8" s="64"/>
      <c r="E8" s="65"/>
      <c r="F8" s="66">
        <f>IFERROR(SUMIF(F9:F18,1,F9:F18)/SUM(COUNTIF(F9:F18,1),COUNTIF(F9:F18,0)),0)</f>
        <v>0.5</v>
      </c>
      <c r="G8" s="66"/>
      <c r="H8" s="66"/>
      <c r="I8" s="66"/>
      <c r="K8" s="66">
        <f>IFERROR(SUMIF(K9:K18,1,K9:K18)/SUM(COUNTIF(K9:K18,1),COUNTIF(K9:K18,0)),0)</f>
        <v>0</v>
      </c>
      <c r="L8"/>
      <c r="M8" s="66">
        <f>IFERROR(SUMIF(M9:M18,1,M9:M18)/SUM(COUNTIF(M9:M18,1),COUNTIF(M9:M18,0)),0)</f>
        <v>0</v>
      </c>
      <c r="N8" s="66"/>
      <c r="AA8" s="60">
        <v>0.05</v>
      </c>
      <c r="AB8" s="60">
        <f>+AA8/$AB$3</f>
        <v>0.5</v>
      </c>
    </row>
    <row r="9" spans="1:41" ht="31.5" outlineLevel="1" x14ac:dyDescent="0.25">
      <c r="A9" s="8">
        <f>+Estandarización!A121+1</f>
        <v>313</v>
      </c>
      <c r="B9" s="41" t="s">
        <v>732</v>
      </c>
      <c r="C9" s="135" t="s">
        <v>178</v>
      </c>
      <c r="D9" s="45" t="s">
        <v>720</v>
      </c>
      <c r="E9" s="46" t="s">
        <v>721</v>
      </c>
      <c r="F9" s="190">
        <v>0</v>
      </c>
      <c r="G9" s="68"/>
      <c r="H9" s="68" t="s">
        <v>763</v>
      </c>
      <c r="I9" s="69"/>
      <c r="K9" s="190"/>
      <c r="L9"/>
      <c r="M9" s="44"/>
      <c r="N9" s="69"/>
      <c r="AA9" s="61"/>
      <c r="AB9" s="61"/>
    </row>
    <row r="10" spans="1:41" ht="31.5" outlineLevel="1" x14ac:dyDescent="0.25">
      <c r="A10" s="8">
        <f>A9+1</f>
        <v>314</v>
      </c>
      <c r="B10" s="41" t="s">
        <v>732</v>
      </c>
      <c r="C10" s="136" t="s">
        <v>178</v>
      </c>
      <c r="D10" s="45" t="s">
        <v>722</v>
      </c>
      <c r="E10" s="46" t="s">
        <v>428</v>
      </c>
      <c r="F10" s="190">
        <v>0</v>
      </c>
      <c r="G10" s="68"/>
      <c r="H10" s="68" t="s">
        <v>763</v>
      </c>
      <c r="I10" s="69"/>
      <c r="K10" s="190"/>
      <c r="L10"/>
      <c r="M10" s="44"/>
      <c r="N10" s="69"/>
      <c r="AA10" s="61"/>
      <c r="AB10" s="61"/>
    </row>
    <row r="11" spans="1:41" outlineLevel="1" x14ac:dyDescent="0.25">
      <c r="A11" s="8">
        <f t="shared" ref="A11:A24" si="0">A10+1</f>
        <v>315</v>
      </c>
      <c r="B11" s="41" t="s">
        <v>732</v>
      </c>
      <c r="C11" s="156" t="s">
        <v>178</v>
      </c>
      <c r="D11" s="42" t="s">
        <v>723</v>
      </c>
      <c r="E11" s="43" t="s">
        <v>179</v>
      </c>
      <c r="F11" s="190">
        <v>0</v>
      </c>
      <c r="G11" s="68"/>
      <c r="H11" s="68"/>
      <c r="I11" s="69"/>
      <c r="K11" s="190"/>
      <c r="L11"/>
      <c r="M11" s="44"/>
      <c r="N11" s="69"/>
      <c r="AA11" s="61"/>
      <c r="AB11" s="61"/>
    </row>
    <row r="12" spans="1:41" ht="31.5" outlineLevel="1" x14ac:dyDescent="0.25">
      <c r="A12" s="8">
        <f t="shared" si="0"/>
        <v>316</v>
      </c>
      <c r="B12" s="41" t="s">
        <v>732</v>
      </c>
      <c r="C12" s="136" t="s">
        <v>178</v>
      </c>
      <c r="D12" s="42" t="s">
        <v>724</v>
      </c>
      <c r="E12" s="43" t="s">
        <v>429</v>
      </c>
      <c r="F12" s="190">
        <v>0</v>
      </c>
      <c r="G12" s="68"/>
      <c r="H12" s="68"/>
      <c r="I12" s="69"/>
      <c r="K12" s="190"/>
      <c r="L12"/>
      <c r="M12" s="44"/>
      <c r="N12" s="69"/>
      <c r="AA12" s="61"/>
      <c r="AB12" s="61"/>
    </row>
    <row r="13" spans="1:41" outlineLevel="1" x14ac:dyDescent="0.25">
      <c r="A13" s="8">
        <f t="shared" si="0"/>
        <v>317</v>
      </c>
      <c r="B13" s="41" t="s">
        <v>732</v>
      </c>
      <c r="C13" s="136" t="s">
        <v>178</v>
      </c>
      <c r="D13" s="42" t="s">
        <v>725</v>
      </c>
      <c r="E13" s="43" t="s">
        <v>181</v>
      </c>
      <c r="F13" s="190">
        <v>1</v>
      </c>
      <c r="G13" s="68"/>
      <c r="H13" s="68"/>
      <c r="I13" s="69"/>
      <c r="K13" s="190"/>
      <c r="L13"/>
      <c r="M13" s="44"/>
      <c r="N13" s="69"/>
      <c r="AA13" s="61"/>
      <c r="AB13" s="61"/>
    </row>
    <row r="14" spans="1:41" ht="31.5" outlineLevel="1" x14ac:dyDescent="0.25">
      <c r="A14" s="8">
        <f t="shared" si="0"/>
        <v>318</v>
      </c>
      <c r="B14" s="41" t="s">
        <v>732</v>
      </c>
      <c r="C14" s="133" t="s">
        <v>178</v>
      </c>
      <c r="D14" s="42" t="s">
        <v>726</v>
      </c>
      <c r="E14" s="43" t="s">
        <v>183</v>
      </c>
      <c r="F14" s="190">
        <v>1</v>
      </c>
      <c r="G14" s="68"/>
      <c r="H14" s="68"/>
      <c r="I14" s="69"/>
      <c r="K14" s="190"/>
      <c r="L14"/>
      <c r="M14" s="44"/>
      <c r="N14" s="69"/>
      <c r="AA14" s="61"/>
      <c r="AB14" s="61"/>
    </row>
    <row r="15" spans="1:41" ht="31.5" outlineLevel="1" x14ac:dyDescent="0.25">
      <c r="A15" s="8">
        <f t="shared" si="0"/>
        <v>319</v>
      </c>
      <c r="B15" s="41" t="s">
        <v>733</v>
      </c>
      <c r="C15" s="134" t="s">
        <v>178</v>
      </c>
      <c r="D15" s="316" t="s">
        <v>727</v>
      </c>
      <c r="E15" s="317" t="s">
        <v>426</v>
      </c>
      <c r="F15" s="190">
        <f>+GST!F32</f>
        <v>1</v>
      </c>
      <c r="G15" s="68"/>
      <c r="H15" s="68"/>
      <c r="I15" s="69"/>
      <c r="K15" s="190"/>
      <c r="L15"/>
      <c r="M15" s="44"/>
      <c r="N15" s="69"/>
      <c r="AA15" s="61"/>
      <c r="AB15" s="61"/>
    </row>
    <row r="16" spans="1:41" ht="33.950000000000003" customHeight="1" outlineLevel="1" x14ac:dyDescent="0.25">
      <c r="A16" s="8">
        <f t="shared" si="0"/>
        <v>320</v>
      </c>
      <c r="B16" s="41" t="s">
        <v>733</v>
      </c>
      <c r="C16" s="158" t="s">
        <v>177</v>
      </c>
      <c r="D16" s="316" t="s">
        <v>728</v>
      </c>
      <c r="E16" s="317" t="s">
        <v>427</v>
      </c>
      <c r="F16" s="190">
        <f>+GST!F33</f>
        <v>1</v>
      </c>
      <c r="G16" s="68"/>
      <c r="H16" s="68"/>
      <c r="I16" s="69"/>
      <c r="K16" s="190"/>
      <c r="L16"/>
      <c r="M16" s="44"/>
      <c r="N16" s="69"/>
      <c r="AA16" s="61"/>
      <c r="AB16" s="61"/>
    </row>
    <row r="17" spans="1:28" outlineLevel="1" x14ac:dyDescent="0.25">
      <c r="A17" s="8">
        <f t="shared" si="0"/>
        <v>321</v>
      </c>
      <c r="B17" s="41" t="s">
        <v>733</v>
      </c>
      <c r="C17" s="156" t="s">
        <v>177</v>
      </c>
      <c r="D17" s="316" t="s">
        <v>729</v>
      </c>
      <c r="E17" s="317" t="s">
        <v>176</v>
      </c>
      <c r="F17" s="190">
        <f>+GST!F34</f>
        <v>1</v>
      </c>
      <c r="G17" s="68"/>
      <c r="H17" s="68"/>
      <c r="I17" s="69"/>
      <c r="K17" s="190"/>
      <c r="L17"/>
      <c r="M17" s="44"/>
      <c r="N17" s="69"/>
      <c r="AA17" s="61"/>
      <c r="AB17" s="61"/>
    </row>
    <row r="18" spans="1:28" ht="33.950000000000003" customHeight="1" outlineLevel="1" x14ac:dyDescent="0.25">
      <c r="A18" s="8">
        <f t="shared" si="0"/>
        <v>322</v>
      </c>
      <c r="B18" s="41" t="s">
        <v>733</v>
      </c>
      <c r="C18" s="56" t="s">
        <v>177</v>
      </c>
      <c r="D18" s="42" t="s">
        <v>730</v>
      </c>
      <c r="E18" s="43" t="s">
        <v>731</v>
      </c>
      <c r="F18" s="190">
        <v>0</v>
      </c>
      <c r="G18" s="68" t="s">
        <v>518</v>
      </c>
      <c r="H18" s="68"/>
      <c r="I18" s="69"/>
      <c r="K18" s="190"/>
      <c r="L18"/>
      <c r="M18" s="44"/>
      <c r="N18" s="69"/>
      <c r="AA18" s="61"/>
      <c r="AB18" s="61"/>
    </row>
    <row r="19" spans="1:28" ht="24.95" customHeight="1" x14ac:dyDescent="0.25">
      <c r="B19" s="62">
        <v>14</v>
      </c>
      <c r="C19" s="63" t="s">
        <v>18</v>
      </c>
      <c r="D19" s="64"/>
      <c r="E19" s="65"/>
      <c r="F19" s="66">
        <f>IFERROR(SUMIF(F20:F24,1,F20:F24)/SUM(COUNTIF(F20:F24,1),COUNTIF(F20:F24,0)),0)</f>
        <v>0.4</v>
      </c>
      <c r="G19" s="66"/>
      <c r="H19" s="66"/>
      <c r="I19" s="66"/>
      <c r="K19" s="66">
        <f>IFERROR(SUMIF(K20:K24,1,K20:K24)/SUM(COUNTIF(K20:K24,1),COUNTIF(K20:K24,0)),0)</f>
        <v>0</v>
      </c>
      <c r="L19"/>
      <c r="M19" s="66">
        <f>IFERROR(SUMIF(M20:M24,1,M20:M24)/SUM(COUNTIF(M20:M24,1),COUNTIF(M20:M24,0)),0)</f>
        <v>0</v>
      </c>
      <c r="N19" s="66"/>
      <c r="AA19" s="60">
        <v>0.05</v>
      </c>
      <c r="AB19" s="60">
        <f>+AA19/$AB$3</f>
        <v>0.5</v>
      </c>
    </row>
    <row r="20" spans="1:28" ht="31.5" outlineLevel="1" x14ac:dyDescent="0.25">
      <c r="A20" s="8">
        <f>A18+1</f>
        <v>323</v>
      </c>
      <c r="B20" s="41" t="s">
        <v>740</v>
      </c>
      <c r="C20" s="158" t="s">
        <v>505</v>
      </c>
      <c r="D20" s="42" t="s">
        <v>734</v>
      </c>
      <c r="E20" s="43" t="s">
        <v>735</v>
      </c>
      <c r="F20" s="190">
        <v>0</v>
      </c>
      <c r="G20" s="68"/>
      <c r="H20" s="68"/>
      <c r="I20" s="69"/>
      <c r="K20" s="190"/>
      <c r="L20"/>
      <c r="M20" s="44"/>
      <c r="N20" s="69"/>
      <c r="AA20" s="61"/>
      <c r="AB20" s="61"/>
    </row>
    <row r="21" spans="1:28" ht="31.5" outlineLevel="1" x14ac:dyDescent="0.25">
      <c r="A21" s="8">
        <f t="shared" si="0"/>
        <v>324</v>
      </c>
      <c r="B21" s="41" t="s">
        <v>740</v>
      </c>
      <c r="C21" s="160" t="s">
        <v>505</v>
      </c>
      <c r="D21" s="42" t="s">
        <v>736</v>
      </c>
      <c r="E21" s="43" t="s">
        <v>431</v>
      </c>
      <c r="F21" s="190">
        <v>0</v>
      </c>
      <c r="G21" s="68"/>
      <c r="H21" s="68"/>
      <c r="I21" s="69"/>
      <c r="K21" s="190"/>
      <c r="L21"/>
      <c r="M21" s="44"/>
      <c r="N21" s="69"/>
      <c r="AA21" s="61"/>
      <c r="AB21" s="61"/>
    </row>
    <row r="22" spans="1:28" ht="47.25" outlineLevel="1" x14ac:dyDescent="0.25">
      <c r="A22" s="8">
        <f t="shared" si="0"/>
        <v>325</v>
      </c>
      <c r="B22" s="41" t="s">
        <v>740</v>
      </c>
      <c r="C22" s="56" t="s">
        <v>505</v>
      </c>
      <c r="D22" s="42" t="s">
        <v>737</v>
      </c>
      <c r="E22" s="43" t="s">
        <v>186</v>
      </c>
      <c r="F22" s="190">
        <v>0</v>
      </c>
      <c r="G22" s="70"/>
      <c r="H22" s="70"/>
      <c r="I22" s="69"/>
      <c r="K22" s="190"/>
      <c r="L22"/>
      <c r="M22" s="44"/>
      <c r="N22" s="69"/>
      <c r="AA22" s="61"/>
      <c r="AB22" s="61"/>
    </row>
    <row r="23" spans="1:28" outlineLevel="1" x14ac:dyDescent="0.25">
      <c r="A23" s="8">
        <f t="shared" si="0"/>
        <v>326</v>
      </c>
      <c r="B23" s="41" t="s">
        <v>741</v>
      </c>
      <c r="C23" s="155" t="s">
        <v>185</v>
      </c>
      <c r="D23" s="316" t="s">
        <v>738</v>
      </c>
      <c r="E23" s="317" t="s">
        <v>430</v>
      </c>
      <c r="F23" s="190">
        <f>+GST!F45</f>
        <v>1</v>
      </c>
      <c r="G23" s="70"/>
      <c r="H23" s="68" t="s">
        <v>763</v>
      </c>
      <c r="I23" s="69"/>
      <c r="K23" s="190"/>
      <c r="L23"/>
      <c r="M23" s="44"/>
      <c r="N23" s="69"/>
      <c r="AA23" s="61"/>
      <c r="AB23" s="61"/>
    </row>
    <row r="24" spans="1:28" outlineLevel="1" x14ac:dyDescent="0.25">
      <c r="A24" s="8">
        <f t="shared" si="0"/>
        <v>327</v>
      </c>
      <c r="B24" s="41" t="s">
        <v>741</v>
      </c>
      <c r="C24" s="56" t="s">
        <v>185</v>
      </c>
      <c r="D24" s="316" t="s">
        <v>739</v>
      </c>
      <c r="E24" s="317" t="s">
        <v>184</v>
      </c>
      <c r="F24" s="190">
        <f>+GST!F46</f>
        <v>1</v>
      </c>
      <c r="G24" s="70"/>
      <c r="H24" s="68" t="s">
        <v>763</v>
      </c>
      <c r="I24" s="69"/>
      <c r="K24" s="190"/>
      <c r="L24"/>
      <c r="M24" s="44"/>
      <c r="N24" s="69"/>
      <c r="AA24" s="61"/>
      <c r="AB24" s="61"/>
    </row>
  </sheetData>
  <sheetProtection autoFilter="0"/>
  <autoFilter ref="A7:I24" xr:uid="{00000000-0009-0000-0000-000004000000}"/>
  <mergeCells count="1">
    <mergeCell ref="AA5:AB5"/>
  </mergeCells>
  <conditionalFormatting sqref="A1:A5 A9:A1048576">
    <cfRule type="duplicateValues" dxfId="48" priority="234"/>
  </conditionalFormatting>
  <conditionalFormatting sqref="A6:A8">
    <cfRule type="duplicateValues" dxfId="47" priority="135"/>
  </conditionalFormatting>
  <conditionalFormatting sqref="F9:F18">
    <cfRule type="containsText" dxfId="46" priority="6" operator="containsText" text="NA - 1">
      <formula>NOT(ISERROR(SEARCH("NA - 1",F9)))</formula>
    </cfRule>
    <cfRule type="containsText" dxfId="45" priority="7" operator="containsText" text="NA - 0">
      <formula>NOT(ISERROR(SEARCH("NA - 0",F9)))</formula>
    </cfRule>
    <cfRule type="containsText" dxfId="44" priority="8" operator="containsText" text="N/A">
      <formula>NOT(ISERROR(SEARCH("N/A",F9)))</formula>
    </cfRule>
    <cfRule type="containsText" dxfId="43" priority="9" operator="containsText" text="0">
      <formula>NOT(ISERROR(SEARCH("0",F9)))</formula>
    </cfRule>
    <cfRule type="containsText" dxfId="42" priority="13" operator="containsText" text="1">
      <formula>NOT(ISERROR(SEARCH("1",F9)))</formula>
    </cfRule>
  </conditionalFormatting>
  <conditionalFormatting sqref="F20:F24">
    <cfRule type="containsText" dxfId="41" priority="1" operator="containsText" text="NA - 1">
      <formula>NOT(ISERROR(SEARCH("NA - 1",F20)))</formula>
    </cfRule>
    <cfRule type="containsText" dxfId="40" priority="2" operator="containsText" text="NA - 0">
      <formula>NOT(ISERROR(SEARCH("NA - 0",F20)))</formula>
    </cfRule>
    <cfRule type="containsText" dxfId="39" priority="3" operator="containsText" text="N/A">
      <formula>NOT(ISERROR(SEARCH("N/A",F20)))</formula>
    </cfRule>
    <cfRule type="containsText" dxfId="38" priority="4" operator="containsText" text="0">
      <formula>NOT(ISERROR(SEARCH("0",F20)))</formula>
    </cfRule>
    <cfRule type="containsText" dxfId="37" priority="5" operator="containsText" text="1">
      <formula>NOT(ISERROR(SEARCH("1",F20)))</formula>
    </cfRule>
  </conditionalFormatting>
  <conditionalFormatting sqref="G9:H18 G20:H21">
    <cfRule type="containsText" dxfId="36" priority="139" operator="containsText" text="1">
      <formula>NOT(ISERROR(SEARCH(("1"),(G9))))</formula>
    </cfRule>
  </conditionalFormatting>
  <conditionalFormatting sqref="G10:H18 G20:H21">
    <cfRule type="containsText" dxfId="35" priority="140" operator="containsText" text="1">
      <formula>NOT(ISERROR(SEARCH(("1"),(G10))))</formula>
    </cfRule>
  </conditionalFormatting>
  <conditionalFormatting sqref="H23:H24">
    <cfRule type="containsText" dxfId="34" priority="28" operator="containsText" text="1">
      <formula>NOT(ISERROR(SEARCH(("1"),(H23))))</formula>
    </cfRule>
    <cfRule type="containsText" dxfId="33" priority="29" operator="containsText" text="1">
      <formula>NOT(ISERROR(SEARCH(("1"),(H23))))</formula>
    </cfRule>
  </conditionalFormatting>
  <conditionalFormatting sqref="K9:K18">
    <cfRule type="containsText" dxfId="32" priority="26" operator="containsText" text="0">
      <formula>NOT(ISERROR(SEARCH("0",K9)))</formula>
    </cfRule>
    <cfRule type="containsText" dxfId="31" priority="27" operator="containsText" text="1">
      <formula>NOT(ISERROR(SEARCH("1",K9)))</formula>
    </cfRule>
  </conditionalFormatting>
  <conditionalFormatting sqref="K20:K24">
    <cfRule type="containsText" dxfId="30" priority="24" operator="containsText" text="0">
      <formula>NOT(ISERROR(SEARCH("0",K20)))</formula>
    </cfRule>
    <cfRule type="containsText" dxfId="29" priority="25" operator="containsText" text="1">
      <formula>NOT(ISERROR(SEARCH("1",K20)))</formula>
    </cfRule>
  </conditionalFormatting>
  <conditionalFormatting sqref="M9:M18 M20:M24 M27:M43 M45:M78 M80:M108 M110:M120 M122:M123 M125:M127 M129:M135">
    <cfRule type="containsText" dxfId="28" priority="35" operator="containsText" text="0">
      <formula>NOT(ISERROR(SEARCH("0",M9)))</formula>
    </cfRule>
    <cfRule type="containsText" dxfId="27" priority="39" operator="containsText" text="1">
      <formula>NOT(ISERROR(SEARCH("1",M9)))</formula>
    </cfRule>
  </conditionalFormatting>
  <dataValidations count="3">
    <dataValidation type="decimal" allowBlank="1" showErrorMessage="1" sqref="M9:M18 M20:M24" xr:uid="{C6DC3BAE-0447-4434-BBDB-D0C36A2E5C56}">
      <formula1>0</formula1>
      <formula2>1</formula2>
    </dataValidation>
    <dataValidation type="list" showErrorMessage="1" sqref="K20:K24 K9:K18" xr:uid="{C4F2F129-9F88-45FD-8276-F8AA5E8FBF0B}">
      <formula1>$AO$1:$AO$3</formula1>
    </dataValidation>
    <dataValidation type="list" showErrorMessage="1" sqref="F9:F18 F20:F24" xr:uid="{4C07DF67-EB0F-4FAD-970B-B349368C25B1}">
      <formula1>$AO$1:$AO$5</formula1>
    </dataValidation>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4B9DD-C2BA-4491-B7FD-BA04EA8BE29B}">
  <dimension ref="A1:AH59"/>
  <sheetViews>
    <sheetView showGridLines="0" zoomScale="69" zoomScaleNormal="69" workbookViewId="0">
      <pane xSplit="22" ySplit="2" topLeftCell="W7" activePane="bottomRight" state="frozen"/>
      <selection activeCell="F7" sqref="F7"/>
      <selection pane="topRight" activeCell="F7" sqref="F7"/>
      <selection pane="bottomLeft" activeCell="F7" sqref="F7"/>
      <selection pane="bottomRight" activeCell="F7" sqref="F7"/>
    </sheetView>
  </sheetViews>
  <sheetFormatPr baseColWidth="10" defaultRowHeight="15.75" x14ac:dyDescent="0.25"/>
  <cols>
    <col min="1" max="1" width="3" customWidth="1"/>
    <col min="2" max="2" width="11" style="1"/>
    <col min="3" max="3" width="11" customWidth="1"/>
    <col min="4" max="4" width="44.25" bestFit="1" customWidth="1"/>
    <col min="5" max="5" width="0.875" customWidth="1"/>
    <col min="6" max="7" width="8.25" style="3" customWidth="1"/>
    <col min="8" max="8" width="9.125" customWidth="1"/>
    <col min="9" max="9" width="3.25" customWidth="1"/>
    <col min="10" max="10" width="1.375" customWidth="1"/>
    <col min="11" max="11" width="5.25" customWidth="1"/>
    <col min="20" max="20" width="2.75" customWidth="1"/>
    <col min="23" max="23" width="20" customWidth="1"/>
    <col min="24" max="24" width="8.5" customWidth="1"/>
  </cols>
  <sheetData>
    <row r="1" spans="1:34" ht="10.5" customHeight="1" x14ac:dyDescent="0.25">
      <c r="A1" s="83"/>
      <c r="B1" s="100"/>
      <c r="C1" s="83"/>
      <c r="D1" s="83"/>
      <c r="E1" s="83"/>
      <c r="F1" s="96"/>
      <c r="G1" s="96"/>
      <c r="H1" s="83"/>
      <c r="I1" s="83"/>
      <c r="J1" s="83"/>
      <c r="K1" s="83"/>
      <c r="L1" s="83"/>
      <c r="M1" s="83"/>
      <c r="N1" s="83"/>
      <c r="O1" s="83"/>
      <c r="P1" s="83"/>
      <c r="Q1" s="83"/>
      <c r="R1" s="83"/>
      <c r="S1" s="83"/>
      <c r="T1" s="83"/>
      <c r="U1" s="83"/>
      <c r="V1" s="83"/>
      <c r="W1" s="83"/>
      <c r="X1" s="83"/>
      <c r="Y1" s="83"/>
      <c r="Z1" s="83"/>
      <c r="AA1" s="83"/>
      <c r="AB1" s="83"/>
      <c r="AC1" s="83"/>
      <c r="AD1" s="83"/>
      <c r="AE1" s="83"/>
      <c r="AF1" s="83"/>
      <c r="AG1" s="83"/>
      <c r="AH1" s="83"/>
    </row>
    <row r="2" spans="1:34" ht="38.25" customHeight="1" x14ac:dyDescent="0.25">
      <c r="A2" s="83"/>
      <c r="B2" s="106" t="s">
        <v>869</v>
      </c>
      <c r="C2" s="95" t="s">
        <v>869</v>
      </c>
      <c r="D2" s="106" t="s">
        <v>870</v>
      </c>
      <c r="E2" s="85"/>
      <c r="F2" s="398" t="s">
        <v>892</v>
      </c>
      <c r="G2" s="398"/>
      <c r="H2" s="398"/>
      <c r="I2" s="124"/>
      <c r="J2" s="83"/>
      <c r="K2" s="83"/>
      <c r="L2" s="398" t="s">
        <v>873</v>
      </c>
      <c r="M2" s="398"/>
      <c r="N2" s="398"/>
      <c r="O2" s="398"/>
      <c r="P2" s="398"/>
      <c r="Q2" s="398"/>
      <c r="R2" s="398"/>
      <c r="S2" s="398"/>
      <c r="T2" s="83"/>
      <c r="U2" s="83"/>
      <c r="V2" s="83"/>
      <c r="W2" s="83"/>
      <c r="X2" s="83"/>
      <c r="Y2" s="83"/>
      <c r="Z2" s="83"/>
      <c r="AA2" s="83"/>
      <c r="AB2" s="83"/>
      <c r="AC2" s="83"/>
      <c r="AD2" s="83"/>
      <c r="AE2" s="83"/>
      <c r="AF2" s="83"/>
      <c r="AG2" s="83"/>
      <c r="AH2" s="83"/>
    </row>
    <row r="3" spans="1:34" ht="23.25" x14ac:dyDescent="0.25">
      <c r="A3" s="83"/>
      <c r="B3" s="100"/>
      <c r="C3" s="97"/>
      <c r="D3" s="97"/>
      <c r="E3" s="97"/>
      <c r="F3" s="98" t="s">
        <v>871</v>
      </c>
      <c r="G3" s="98" t="s">
        <v>900</v>
      </c>
      <c r="H3" s="99"/>
      <c r="I3" s="99"/>
      <c r="J3" s="99"/>
      <c r="K3" s="99"/>
      <c r="L3" s="99"/>
      <c r="M3" s="99"/>
      <c r="N3" s="99"/>
      <c r="O3" s="83"/>
      <c r="P3" s="83"/>
      <c r="Q3" s="83"/>
      <c r="R3" s="83"/>
      <c r="S3" s="83"/>
      <c r="T3" s="83"/>
      <c r="U3" s="118"/>
      <c r="V3" s="83"/>
      <c r="W3" s="83"/>
      <c r="X3" s="83"/>
      <c r="Y3" s="83"/>
      <c r="Z3" s="83"/>
      <c r="AA3" s="83"/>
      <c r="AB3" s="83"/>
      <c r="AC3" s="83"/>
      <c r="AD3" s="83"/>
      <c r="AE3" s="83"/>
      <c r="AF3" s="83"/>
      <c r="AG3" s="83"/>
      <c r="AH3" s="83"/>
    </row>
    <row r="4" spans="1:34" ht="5.25" customHeight="1" thickBot="1" x14ac:dyDescent="0.3">
      <c r="A4" s="83"/>
      <c r="B4" s="100"/>
      <c r="C4" s="83"/>
      <c r="D4" s="83"/>
      <c r="E4" s="83"/>
      <c r="F4" s="96"/>
      <c r="G4" s="96"/>
      <c r="H4" s="83"/>
      <c r="I4" s="83"/>
      <c r="J4" s="83"/>
      <c r="K4" s="83"/>
      <c r="L4" s="83"/>
      <c r="M4" s="83"/>
      <c r="N4" s="83"/>
      <c r="O4" s="83"/>
      <c r="P4" s="83"/>
      <c r="Q4" s="83"/>
      <c r="R4" s="83"/>
      <c r="S4" s="83"/>
      <c r="T4" s="83"/>
      <c r="U4" s="83"/>
      <c r="V4" s="83"/>
      <c r="W4" s="83"/>
      <c r="X4" s="83"/>
      <c r="Y4" s="83"/>
      <c r="Z4" s="83"/>
      <c r="AA4" s="83"/>
      <c r="AB4" s="83"/>
      <c r="AC4" s="83"/>
      <c r="AD4" s="83"/>
      <c r="AE4" s="83"/>
      <c r="AF4" s="83"/>
      <c r="AG4" s="83"/>
      <c r="AH4" s="83"/>
    </row>
    <row r="5" spans="1:34" s="94" customFormat="1" ht="25.5" customHeight="1" thickBot="1" x14ac:dyDescent="0.3">
      <c r="A5" s="99"/>
      <c r="B5" s="115">
        <v>1</v>
      </c>
      <c r="C5" s="101" t="s">
        <v>760</v>
      </c>
      <c r="D5" s="102" t="s">
        <v>154</v>
      </c>
      <c r="E5" s="99"/>
      <c r="F5" s="107">
        <f>COUNTIF(Operacional!G:G,Condicionales!C5)</f>
        <v>2</v>
      </c>
      <c r="G5" s="108">
        <f>SUMIF(Operacional!G:G,Condicionales!C5,Operacional!F:F)</f>
        <v>2</v>
      </c>
      <c r="H5" s="137">
        <f>+G5/F5</f>
        <v>1</v>
      </c>
      <c r="I5" s="138">
        <f>+H5</f>
        <v>1</v>
      </c>
      <c r="J5" s="99"/>
      <c r="K5" s="99"/>
      <c r="L5" s="113" t="s">
        <v>874</v>
      </c>
      <c r="M5" s="99"/>
      <c r="N5" s="99"/>
      <c r="O5" s="99"/>
      <c r="P5" s="114"/>
      <c r="Q5" s="99"/>
      <c r="R5" s="99"/>
      <c r="S5" s="99"/>
      <c r="T5" s="99"/>
      <c r="U5" s="99"/>
      <c r="V5" s="99"/>
      <c r="W5" s="99"/>
      <c r="X5" s="99"/>
      <c r="Y5" s="99"/>
      <c r="Z5" s="99"/>
      <c r="AA5" s="99"/>
      <c r="AB5" s="99"/>
      <c r="AC5" s="99"/>
      <c r="AD5" s="99"/>
      <c r="AE5" s="99"/>
      <c r="AF5" s="99"/>
      <c r="AG5" s="99"/>
      <c r="AH5" s="99"/>
    </row>
    <row r="6" spans="1:34" s="94" customFormat="1" ht="25.5" customHeight="1" x14ac:dyDescent="0.25">
      <c r="A6" s="99"/>
      <c r="B6" s="116">
        <f>+B5+1</f>
        <v>2</v>
      </c>
      <c r="C6" s="103" t="s">
        <v>759</v>
      </c>
      <c r="D6" s="104" t="s">
        <v>119</v>
      </c>
      <c r="E6" s="99"/>
      <c r="F6" s="109">
        <f>COUNTIF(Operacional!G:G,Condicionales!C6)</f>
        <v>1</v>
      </c>
      <c r="G6" s="110">
        <f>SUMIF(Operacional!G:G,Condicionales!C6,Operacional!F:F)</f>
        <v>1</v>
      </c>
      <c r="H6" s="139">
        <f t="shared" ref="H6:H21" si="0">+G6/F6</f>
        <v>1</v>
      </c>
      <c r="I6" s="140">
        <f t="shared" ref="I6:I17" si="1">+H6</f>
        <v>1</v>
      </c>
      <c r="J6" s="99"/>
      <c r="K6" s="99"/>
      <c r="L6" s="99"/>
      <c r="M6" s="115" t="s">
        <v>515</v>
      </c>
      <c r="N6" s="147">
        <f>+F21</f>
        <v>50</v>
      </c>
      <c r="O6" s="114">
        <v>0.1</v>
      </c>
      <c r="P6" s="99"/>
      <c r="Q6" s="99" t="str">
        <f>+"Condición 1: "&amp;Q7</f>
        <v>Condición 1: No OK</v>
      </c>
      <c r="R6" s="99"/>
      <c r="S6" s="99"/>
      <c r="T6" s="99"/>
      <c r="U6" s="99"/>
      <c r="V6" s="99"/>
      <c r="W6" s="99"/>
      <c r="X6" s="99"/>
      <c r="Y6" s="99"/>
      <c r="Z6" s="99"/>
      <c r="AA6" s="99"/>
      <c r="AB6" s="99"/>
      <c r="AC6" s="99"/>
      <c r="AD6" s="99"/>
      <c r="AE6" s="99"/>
      <c r="AF6" s="99"/>
      <c r="AG6" s="99"/>
      <c r="AH6" s="99"/>
    </row>
    <row r="7" spans="1:34" s="94" customFormat="1" ht="25.5" customHeight="1" thickBot="1" x14ac:dyDescent="0.3">
      <c r="A7" s="99"/>
      <c r="B7" s="116">
        <f t="shared" ref="B7:B19" si="2">+B6+1</f>
        <v>3</v>
      </c>
      <c r="C7" s="103" t="s">
        <v>758</v>
      </c>
      <c r="D7" s="104" t="s">
        <v>120</v>
      </c>
      <c r="E7" s="99"/>
      <c r="F7" s="109">
        <f>COUNTIF(Operacional!G:G,Condicionales!C7)</f>
        <v>3</v>
      </c>
      <c r="G7" s="110">
        <f>SUMIF(Operacional!G:G,Condicionales!C7,Operacional!F:F)</f>
        <v>0</v>
      </c>
      <c r="H7" s="139">
        <f t="shared" si="0"/>
        <v>0</v>
      </c>
      <c r="I7" s="140">
        <f t="shared" si="1"/>
        <v>0</v>
      </c>
      <c r="J7" s="99"/>
      <c r="K7" s="99"/>
      <c r="L7" s="99"/>
      <c r="M7" s="117" t="s">
        <v>872</v>
      </c>
      <c r="N7" s="148">
        <f>+G21</f>
        <v>38</v>
      </c>
      <c r="O7" s="99"/>
      <c r="P7" s="99"/>
      <c r="Q7" s="99" t="str">
        <f>IF(N7&gt;=N6*(1-O6),"OK","No OK")</f>
        <v>No OK</v>
      </c>
      <c r="R7" s="99"/>
      <c r="S7" s="99"/>
      <c r="T7" s="99"/>
      <c r="U7" s="99"/>
      <c r="V7" s="99"/>
      <c r="W7" s="99"/>
      <c r="X7" s="99"/>
      <c r="Y7" s="99"/>
      <c r="Z7" s="99"/>
      <c r="AA7" s="99"/>
      <c r="AB7" s="99"/>
      <c r="AC7" s="99"/>
      <c r="AD7" s="99"/>
      <c r="AE7" s="99"/>
      <c r="AF7" s="99"/>
      <c r="AG7" s="99"/>
      <c r="AH7" s="99"/>
    </row>
    <row r="8" spans="1:34" s="94" customFormat="1" ht="25.5" customHeight="1" x14ac:dyDescent="0.25">
      <c r="A8" s="99"/>
      <c r="B8" s="116">
        <f t="shared" si="2"/>
        <v>4</v>
      </c>
      <c r="C8" s="103" t="s">
        <v>757</v>
      </c>
      <c r="D8" s="104" t="s">
        <v>121</v>
      </c>
      <c r="E8" s="99"/>
      <c r="F8" s="109">
        <f>COUNTIF(Operacional!G:G,Condicionales!C8)</f>
        <v>3</v>
      </c>
      <c r="G8" s="110">
        <f>SUMIF(Operacional!G:G,Condicionales!C8,Operacional!F:F)</f>
        <v>0</v>
      </c>
      <c r="H8" s="139">
        <f t="shared" si="0"/>
        <v>0</v>
      </c>
      <c r="I8" s="140">
        <f t="shared" si="1"/>
        <v>0</v>
      </c>
      <c r="J8" s="99"/>
      <c r="K8" s="99"/>
      <c r="L8" s="99"/>
      <c r="M8" s="100"/>
      <c r="N8" s="100"/>
      <c r="O8" s="99"/>
      <c r="P8" s="99"/>
      <c r="Q8" s="99"/>
      <c r="R8" s="99"/>
      <c r="S8" s="99"/>
      <c r="T8" s="99"/>
      <c r="U8" s="99"/>
      <c r="V8" s="99"/>
      <c r="W8" s="99"/>
      <c r="X8" s="99"/>
      <c r="Y8" s="99"/>
      <c r="Z8" s="99"/>
      <c r="AA8" s="99"/>
      <c r="AB8" s="99"/>
      <c r="AC8" s="99"/>
      <c r="AD8" s="99"/>
      <c r="AE8" s="99"/>
      <c r="AF8" s="99"/>
      <c r="AG8" s="99"/>
      <c r="AH8" s="99"/>
    </row>
    <row r="9" spans="1:34" s="94" customFormat="1" ht="25.5" customHeight="1" thickBot="1" x14ac:dyDescent="0.3">
      <c r="A9" s="99"/>
      <c r="B9" s="116">
        <f t="shared" si="2"/>
        <v>5</v>
      </c>
      <c r="C9" s="103" t="s">
        <v>756</v>
      </c>
      <c r="D9" s="104" t="s">
        <v>122</v>
      </c>
      <c r="E9" s="99"/>
      <c r="F9" s="109">
        <f>COUNTIF(Operacional!G:G,Condicionales!C9)</f>
        <v>3</v>
      </c>
      <c r="G9" s="110">
        <f>SUMIF(Operacional!G:G,Condicionales!C9,Operacional!F:F)</f>
        <v>3</v>
      </c>
      <c r="H9" s="139">
        <f t="shared" si="0"/>
        <v>1</v>
      </c>
      <c r="I9" s="140">
        <f t="shared" si="1"/>
        <v>1</v>
      </c>
      <c r="J9" s="99"/>
      <c r="K9" s="99"/>
      <c r="L9" s="113" t="s">
        <v>875</v>
      </c>
      <c r="M9" s="100"/>
      <c r="N9" s="100"/>
      <c r="O9" s="99"/>
      <c r="P9" s="99"/>
      <c r="Q9" s="99"/>
      <c r="R9" s="99"/>
      <c r="S9" s="99"/>
      <c r="T9" s="99"/>
      <c r="U9" s="99"/>
      <c r="V9" s="99"/>
      <c r="W9" s="99"/>
      <c r="X9" s="99"/>
      <c r="Y9" s="99"/>
      <c r="Z9" s="99"/>
      <c r="AA9" s="99"/>
      <c r="AB9" s="99"/>
      <c r="AC9" s="99"/>
      <c r="AD9" s="99"/>
      <c r="AE9" s="99"/>
      <c r="AF9" s="99"/>
      <c r="AG9" s="99"/>
      <c r="AH9" s="99"/>
    </row>
    <row r="10" spans="1:34" s="94" customFormat="1" ht="25.5" customHeight="1" x14ac:dyDescent="0.25">
      <c r="A10" s="99"/>
      <c r="B10" s="116">
        <f t="shared" si="2"/>
        <v>6</v>
      </c>
      <c r="C10" s="103" t="s">
        <v>755</v>
      </c>
      <c r="D10" s="104" t="s">
        <v>94</v>
      </c>
      <c r="E10" s="99"/>
      <c r="F10" s="109">
        <f>COUNTIF(Estandarización!G:G,Condicionales!C10)</f>
        <v>4</v>
      </c>
      <c r="G10" s="110">
        <f>SUMIF(Estandarización!G:G,Condicionales!C10,Estandarización!F:F)</f>
        <v>4</v>
      </c>
      <c r="H10" s="139">
        <f t="shared" si="0"/>
        <v>1</v>
      </c>
      <c r="I10" s="140">
        <f t="shared" si="1"/>
        <v>1</v>
      </c>
      <c r="J10" s="99"/>
      <c r="K10" s="99"/>
      <c r="L10" s="99"/>
      <c r="M10" s="150" t="s">
        <v>515</v>
      </c>
      <c r="N10" s="145">
        <f>+F15+F16+F17</f>
        <v>9</v>
      </c>
      <c r="O10" s="99"/>
      <c r="P10" s="99"/>
      <c r="Q10" s="99" t="str">
        <f>+"Condición 2: "&amp;Q11</f>
        <v>Condición 2: OK</v>
      </c>
      <c r="R10" s="99"/>
      <c r="S10" s="99"/>
      <c r="T10" s="99"/>
      <c r="U10" s="99"/>
      <c r="V10" s="99"/>
      <c r="W10" s="99"/>
      <c r="X10" s="99"/>
      <c r="Y10" s="99"/>
      <c r="Z10" s="99"/>
      <c r="AA10" s="99"/>
      <c r="AB10" s="99"/>
      <c r="AC10" s="99"/>
      <c r="AD10" s="99"/>
      <c r="AE10" s="99"/>
      <c r="AF10" s="99"/>
      <c r="AG10" s="99"/>
      <c r="AH10" s="99"/>
    </row>
    <row r="11" spans="1:34" s="94" customFormat="1" ht="25.5" customHeight="1" thickBot="1" x14ac:dyDescent="0.3">
      <c r="A11" s="99"/>
      <c r="B11" s="116">
        <f t="shared" si="2"/>
        <v>7</v>
      </c>
      <c r="C11" s="103" t="s">
        <v>754</v>
      </c>
      <c r="D11" s="104" t="s">
        <v>148</v>
      </c>
      <c r="E11" s="99"/>
      <c r="F11" s="109">
        <f>COUNTIF(Estandarización!G:G,Condicionales!C11)</f>
        <v>3</v>
      </c>
      <c r="G11" s="110">
        <f>SUMIF(Estandarización!G:G,Condicionales!C11,Estandarización!F:F)</f>
        <v>3</v>
      </c>
      <c r="H11" s="139">
        <f t="shared" si="0"/>
        <v>1</v>
      </c>
      <c r="I11" s="140">
        <f t="shared" si="1"/>
        <v>1</v>
      </c>
      <c r="J11" s="99"/>
      <c r="K11" s="99"/>
      <c r="L11" s="99"/>
      <c r="M11" s="144" t="s">
        <v>872</v>
      </c>
      <c r="N11" s="146">
        <f>+G15+G16+G17</f>
        <v>9</v>
      </c>
      <c r="O11" s="99"/>
      <c r="P11" s="99"/>
      <c r="Q11" s="99" t="str">
        <f>IF(N11=N10,"OK","No OK")</f>
        <v>OK</v>
      </c>
      <c r="R11" s="99"/>
      <c r="S11" s="99"/>
      <c r="T11" s="99"/>
      <c r="U11" s="99"/>
      <c r="V11" s="99"/>
      <c r="W11" s="99"/>
      <c r="X11" s="99"/>
      <c r="Y11" s="99"/>
      <c r="Z11" s="99"/>
      <c r="AA11" s="99"/>
      <c r="AB11" s="99"/>
      <c r="AC11" s="99"/>
      <c r="AD11" s="99"/>
      <c r="AE11" s="99"/>
      <c r="AF11" s="99"/>
      <c r="AG11" s="99"/>
      <c r="AH11" s="99"/>
    </row>
    <row r="12" spans="1:34" s="94" customFormat="1" ht="25.5" customHeight="1" x14ac:dyDescent="0.25">
      <c r="A12" s="99"/>
      <c r="B12" s="116">
        <f t="shared" si="2"/>
        <v>8</v>
      </c>
      <c r="C12" s="103" t="s">
        <v>752</v>
      </c>
      <c r="D12" s="104" t="s">
        <v>95</v>
      </c>
      <c r="E12" s="99"/>
      <c r="F12" s="109">
        <f>COUNTIF(Estandarización!G:G,Condicionales!C12)</f>
        <v>8</v>
      </c>
      <c r="G12" s="110">
        <f>SUMIF(Estandarización!G:G,Condicionales!C12,Estandarización!F:F)</f>
        <v>8</v>
      </c>
      <c r="H12" s="139">
        <f t="shared" si="0"/>
        <v>1</v>
      </c>
      <c r="I12" s="140">
        <f t="shared" si="1"/>
        <v>1</v>
      </c>
      <c r="J12" s="99"/>
      <c r="K12" s="99"/>
      <c r="L12" s="99"/>
      <c r="M12" s="100"/>
      <c r="N12" s="100"/>
      <c r="O12" s="99"/>
      <c r="P12" s="99"/>
      <c r="Q12" s="99"/>
      <c r="R12" s="99"/>
      <c r="S12" s="99"/>
      <c r="T12" s="99"/>
      <c r="U12" s="99"/>
      <c r="V12" s="99"/>
      <c r="W12" s="99"/>
      <c r="X12" s="99"/>
      <c r="Y12" s="99"/>
      <c r="Z12" s="99"/>
      <c r="AA12" s="99"/>
      <c r="AB12" s="99"/>
      <c r="AC12" s="99"/>
      <c r="AD12" s="99"/>
      <c r="AE12" s="99"/>
      <c r="AF12" s="99"/>
      <c r="AG12" s="99"/>
      <c r="AH12" s="99"/>
    </row>
    <row r="13" spans="1:34" s="94" customFormat="1" ht="25.5" customHeight="1" thickBot="1" x14ac:dyDescent="0.3">
      <c r="A13" s="99"/>
      <c r="B13" s="116">
        <f t="shared" si="2"/>
        <v>9</v>
      </c>
      <c r="C13" s="103" t="s">
        <v>751</v>
      </c>
      <c r="D13" s="104" t="s">
        <v>155</v>
      </c>
      <c r="E13" s="99"/>
      <c r="F13" s="109">
        <f>COUNTIF(Estandarización!G:G,Condicionales!C13)</f>
        <v>4</v>
      </c>
      <c r="G13" s="110">
        <f>SUMIF(Estandarización!G:G,Condicionales!C13,Estandarización!F:F)</f>
        <v>0</v>
      </c>
      <c r="H13" s="139">
        <f t="shared" si="0"/>
        <v>0</v>
      </c>
      <c r="I13" s="140">
        <f t="shared" si="1"/>
        <v>0</v>
      </c>
      <c r="J13" s="99"/>
      <c r="K13" s="99"/>
      <c r="L13" s="113" t="s">
        <v>898</v>
      </c>
      <c r="M13" s="100"/>
      <c r="N13" s="100"/>
      <c r="O13" s="99"/>
      <c r="P13" s="99"/>
      <c r="Q13" s="99"/>
      <c r="R13" s="99"/>
      <c r="S13" s="99"/>
      <c r="T13" s="99"/>
      <c r="U13" s="99"/>
      <c r="V13" s="99"/>
      <c r="W13" s="99"/>
      <c r="X13" s="99"/>
      <c r="Y13" s="99"/>
      <c r="Z13" s="99"/>
      <c r="AA13" s="99"/>
      <c r="AB13" s="99"/>
      <c r="AC13" s="99"/>
      <c r="AD13" s="99"/>
      <c r="AE13" s="99"/>
      <c r="AF13" s="99"/>
      <c r="AG13" s="99"/>
      <c r="AH13" s="99"/>
    </row>
    <row r="14" spans="1:34" s="94" customFormat="1" ht="25.5" customHeight="1" x14ac:dyDescent="0.25">
      <c r="A14" s="99"/>
      <c r="B14" s="116">
        <f t="shared" si="2"/>
        <v>10</v>
      </c>
      <c r="C14" s="103" t="s">
        <v>750</v>
      </c>
      <c r="D14" s="104" t="s">
        <v>149</v>
      </c>
      <c r="E14" s="99"/>
      <c r="F14" s="109">
        <f>COUNTIF(Estandarización!G:G,Condicionales!C14)</f>
        <v>6</v>
      </c>
      <c r="G14" s="110">
        <f>SUMIF(Estandarización!G:G,Condicionales!C14,Estandarización!F:F)</f>
        <v>6</v>
      </c>
      <c r="H14" s="139">
        <f t="shared" si="0"/>
        <v>1</v>
      </c>
      <c r="I14" s="140">
        <f t="shared" si="1"/>
        <v>1</v>
      </c>
      <c r="J14" s="99"/>
      <c r="K14" s="99"/>
      <c r="L14" s="99"/>
      <c r="M14" s="151" t="s">
        <v>899</v>
      </c>
      <c r="N14" s="186">
        <f>+'Resumen  - Se oculta 5,0'!B131</f>
        <v>0.57607108692402809</v>
      </c>
      <c r="O14" s="99"/>
      <c r="P14" s="99"/>
      <c r="Q14" s="99" t="str">
        <f>+"Condición 3: "&amp;Q15</f>
        <v>Condición 3: No Aplica</v>
      </c>
      <c r="R14" s="99"/>
      <c r="S14" s="99"/>
      <c r="T14" s="99"/>
      <c r="U14" s="99"/>
      <c r="V14" s="99"/>
      <c r="W14" s="99"/>
      <c r="X14" s="99"/>
      <c r="Y14" s="99"/>
      <c r="Z14" s="99"/>
      <c r="AA14" s="99"/>
      <c r="AB14" s="99"/>
      <c r="AC14" s="99"/>
      <c r="AD14" s="99"/>
      <c r="AE14" s="99"/>
      <c r="AF14" s="99"/>
      <c r="AG14" s="99"/>
      <c r="AH14" s="99"/>
    </row>
    <row r="15" spans="1:34" s="94" customFormat="1" ht="25.5" customHeight="1" thickBot="1" x14ac:dyDescent="0.3">
      <c r="A15" s="99"/>
      <c r="B15" s="172">
        <f>+B14+1</f>
        <v>11</v>
      </c>
      <c r="C15" s="173" t="s">
        <v>749</v>
      </c>
      <c r="D15" s="174" t="s">
        <v>150</v>
      </c>
      <c r="E15" s="99"/>
      <c r="F15" s="109">
        <f>COUNTIF(Operacional!G:G,Condicionales!C15)</f>
        <v>2</v>
      </c>
      <c r="G15" s="110">
        <f>SUMIF(Operacional!G:G,Condicionales!C15,Operacional!F:F)</f>
        <v>2</v>
      </c>
      <c r="H15" s="139">
        <f t="shared" si="0"/>
        <v>1</v>
      </c>
      <c r="I15" s="140">
        <f t="shared" si="1"/>
        <v>1</v>
      </c>
      <c r="J15" s="99"/>
      <c r="K15" s="99"/>
      <c r="L15" s="99"/>
      <c r="M15" s="152" t="s">
        <v>868</v>
      </c>
      <c r="N15" s="149" t="str">
        <f>+'Resumen  - Se oculta 5,0'!D134</f>
        <v>INACTIVO</v>
      </c>
      <c r="O15" s="99"/>
      <c r="P15" s="99"/>
      <c r="Q15" s="99" t="str">
        <f>IF(N15="PROACTIVO",IF(H21=100%,"OK","No OK"),"No Aplica")</f>
        <v>No Aplica</v>
      </c>
      <c r="R15" s="99"/>
      <c r="S15" s="99"/>
      <c r="T15" s="99"/>
      <c r="U15" s="99"/>
      <c r="V15" s="99"/>
      <c r="W15" s="99"/>
      <c r="X15" s="99"/>
      <c r="Y15" s="99"/>
      <c r="Z15" s="99"/>
      <c r="AA15" s="99"/>
      <c r="AB15" s="99"/>
      <c r="AC15" s="99"/>
      <c r="AD15" s="99"/>
      <c r="AE15" s="99"/>
      <c r="AF15" s="99"/>
      <c r="AG15" s="99"/>
      <c r="AH15" s="99"/>
    </row>
    <row r="16" spans="1:34" s="94" customFormat="1" ht="25.5" customHeight="1" x14ac:dyDescent="0.25">
      <c r="A16" s="99"/>
      <c r="B16" s="172">
        <f t="shared" si="2"/>
        <v>12</v>
      </c>
      <c r="C16" s="173" t="s">
        <v>748</v>
      </c>
      <c r="D16" s="174" t="s">
        <v>151</v>
      </c>
      <c r="E16" s="99"/>
      <c r="F16" s="109">
        <f>COUNTIF(Operacional!G:G,Condicionales!C16)</f>
        <v>2</v>
      </c>
      <c r="G16" s="110">
        <f>SUMIF(Operacional!G:G,Condicionales!C16,Operacional!F:F)</f>
        <v>2</v>
      </c>
      <c r="H16" s="139">
        <f t="shared" si="0"/>
        <v>1</v>
      </c>
      <c r="I16" s="140">
        <f t="shared" si="1"/>
        <v>1</v>
      </c>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row>
    <row r="17" spans="1:34" s="94" customFormat="1" ht="25.5" customHeight="1" x14ac:dyDescent="0.25">
      <c r="A17" s="99"/>
      <c r="B17" s="172">
        <f t="shared" si="2"/>
        <v>13</v>
      </c>
      <c r="C17" s="173" t="s">
        <v>747</v>
      </c>
      <c r="D17" s="174" t="s">
        <v>152</v>
      </c>
      <c r="E17" s="99"/>
      <c r="F17" s="109">
        <f>COUNTIF(Operacional!G:G,Condicionales!C17)</f>
        <v>5</v>
      </c>
      <c r="G17" s="110">
        <f>SUMIF(Operacional!G:G,Condicionales!C17,Operacional!F:F)</f>
        <v>5</v>
      </c>
      <c r="H17" s="139">
        <f t="shared" si="0"/>
        <v>1</v>
      </c>
      <c r="I17" s="140">
        <f t="shared" si="1"/>
        <v>1</v>
      </c>
      <c r="J17" s="99"/>
      <c r="K17" s="99"/>
      <c r="L17" s="99"/>
      <c r="M17" s="99"/>
      <c r="N17" s="99"/>
      <c r="O17" s="99" t="str">
        <f>"BPLs Condicionales: "&amp;G21&amp;" Cumplidas"&amp;" de "&amp;F21</f>
        <v>BPLs Condicionales: 38 Cumplidas de 50</v>
      </c>
      <c r="P17" s="99"/>
      <c r="Q17" s="99"/>
      <c r="R17" s="99"/>
      <c r="S17" s="99"/>
      <c r="T17" s="99"/>
      <c r="U17" s="99"/>
      <c r="V17" s="99"/>
      <c r="W17" s="99"/>
      <c r="X17" s="99"/>
      <c r="Y17" s="99"/>
      <c r="Z17" s="99"/>
      <c r="AA17" s="99"/>
      <c r="AB17" s="99"/>
      <c r="AC17" s="99"/>
      <c r="AD17" s="99"/>
      <c r="AE17" s="99"/>
      <c r="AF17" s="99"/>
      <c r="AG17" s="99"/>
      <c r="AH17" s="99"/>
    </row>
    <row r="18" spans="1:34" s="94" customFormat="1" ht="25.5" customHeight="1" x14ac:dyDescent="0.25">
      <c r="A18" s="99"/>
      <c r="B18" s="116">
        <f t="shared" si="2"/>
        <v>14</v>
      </c>
      <c r="C18" s="103" t="s">
        <v>912</v>
      </c>
      <c r="D18" s="104" t="s">
        <v>950</v>
      </c>
      <c r="E18" s="99"/>
      <c r="F18" s="109">
        <f>COUNTIF(Operacional!G:G,Condicionales!C18)</f>
        <v>2</v>
      </c>
      <c r="G18" s="110">
        <f>SUMIF(Operacional!G:G,Condicionales!C18,Operacional!F:F)</f>
        <v>0</v>
      </c>
      <c r="H18" s="139">
        <f t="shared" ref="H18:H19" si="3">+G18/F18</f>
        <v>0</v>
      </c>
      <c r="I18" s="140">
        <f t="shared" ref="I18:I19" si="4">+H18</f>
        <v>0</v>
      </c>
      <c r="J18" s="99"/>
      <c r="K18" s="99"/>
      <c r="L18" s="99"/>
      <c r="M18" s="99"/>
      <c r="N18" s="99"/>
      <c r="O18" s="99" t="str">
        <f>IF('Resumen  - Se oculta 5,0'!D131="PROACTIVO",IF(Condicionales!H21=100%,"MANTIENE ESTADIO","CAE 1 ESTADIO"),IF(Q11="No OK","CAE 1 ESTADIO",IF(Q7="OK","MANTIENE ESTADIO","CAE 1 ESTADIO")))</f>
        <v>CAE 1 ESTADIO</v>
      </c>
      <c r="P18" s="99"/>
      <c r="Q18" s="99"/>
      <c r="R18" s="99"/>
      <c r="S18" s="99"/>
      <c r="T18" s="99"/>
      <c r="U18" s="99"/>
      <c r="V18" s="99"/>
      <c r="W18" s="99"/>
      <c r="X18" s="99"/>
      <c r="Y18" s="99"/>
      <c r="Z18" s="99"/>
      <c r="AA18" s="99"/>
      <c r="AB18" s="99"/>
      <c r="AC18" s="99"/>
      <c r="AD18" s="99"/>
      <c r="AE18" s="99"/>
      <c r="AF18" s="99"/>
      <c r="AG18" s="99"/>
      <c r="AH18" s="99"/>
    </row>
    <row r="19" spans="1:34" s="94" customFormat="1" ht="25.5" customHeight="1" thickBot="1" x14ac:dyDescent="0.3">
      <c r="A19" s="99"/>
      <c r="B19" s="117">
        <f t="shared" si="2"/>
        <v>15</v>
      </c>
      <c r="C19" s="170" t="s">
        <v>926</v>
      </c>
      <c r="D19" s="105" t="s">
        <v>951</v>
      </c>
      <c r="E19" s="169"/>
      <c r="F19" s="111">
        <f>COUNTIF(Operacional!G:G,Condicionales!C19)</f>
        <v>2</v>
      </c>
      <c r="G19" s="171">
        <f>SUMIF(Operacional!G:G,Condicionales!C19,Operacional!F:F)</f>
        <v>2</v>
      </c>
      <c r="H19" s="141">
        <f t="shared" si="3"/>
        <v>1</v>
      </c>
      <c r="I19" s="142">
        <f t="shared" si="4"/>
        <v>1</v>
      </c>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row>
    <row r="20" spans="1:34" ht="5.25" customHeight="1" x14ac:dyDescent="0.25">
      <c r="A20" s="83"/>
      <c r="B20" s="100"/>
      <c r="C20" s="83"/>
      <c r="D20" s="83"/>
      <c r="E20" s="83"/>
      <c r="F20" s="96"/>
      <c r="G20" s="96"/>
      <c r="H20" s="83"/>
      <c r="I20" s="83"/>
      <c r="J20" s="83"/>
      <c r="K20" s="83"/>
      <c r="L20" s="83"/>
      <c r="M20" s="83"/>
      <c r="N20" s="83"/>
      <c r="O20" s="83"/>
      <c r="P20" s="83"/>
      <c r="Q20" s="83"/>
      <c r="R20" s="83"/>
      <c r="S20" s="83"/>
      <c r="T20" s="83"/>
      <c r="U20" s="83"/>
      <c r="V20" s="83"/>
      <c r="W20" s="83"/>
      <c r="X20" s="83"/>
      <c r="Y20" s="83"/>
      <c r="Z20" s="83"/>
      <c r="AA20" s="83"/>
      <c r="AB20" s="83"/>
      <c r="AC20" s="83"/>
      <c r="AD20" s="83"/>
      <c r="AE20" s="83"/>
      <c r="AF20" s="83"/>
      <c r="AG20" s="83"/>
      <c r="AH20" s="83"/>
    </row>
    <row r="21" spans="1:34" s="94" customFormat="1" ht="34.5" customHeight="1" x14ac:dyDescent="0.25">
      <c r="A21" s="99"/>
      <c r="B21" s="100"/>
      <c r="C21" s="99"/>
      <c r="D21" s="112" t="s">
        <v>871</v>
      </c>
      <c r="E21" s="99"/>
      <c r="F21" s="112">
        <f>SUM(F5:F20)</f>
        <v>50</v>
      </c>
      <c r="G21" s="112">
        <f>SUM(G5:G20)</f>
        <v>38</v>
      </c>
      <c r="H21" s="139">
        <f t="shared" si="0"/>
        <v>0.76</v>
      </c>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row>
    <row r="22" spans="1:34" x14ac:dyDescent="0.25">
      <c r="A22" s="83"/>
      <c r="B22" s="100"/>
      <c r="C22" s="83"/>
      <c r="D22" s="83"/>
      <c r="E22" s="83"/>
      <c r="F22" s="96"/>
      <c r="G22" s="96"/>
      <c r="H22" s="83"/>
      <c r="I22" s="83"/>
      <c r="J22" s="83"/>
      <c r="K22" s="83"/>
      <c r="L22" s="83"/>
      <c r="M22" s="83"/>
      <c r="N22" s="83"/>
      <c r="O22" s="83"/>
      <c r="P22" s="83"/>
      <c r="Q22" s="83"/>
      <c r="R22" s="83"/>
      <c r="S22" s="83"/>
      <c r="T22" s="83"/>
      <c r="U22" s="83"/>
      <c r="V22" s="83"/>
      <c r="W22" s="83"/>
      <c r="X22" s="83"/>
      <c r="Y22" s="83"/>
      <c r="Z22" s="83"/>
      <c r="AA22" s="83"/>
      <c r="AB22" s="83"/>
      <c r="AC22" s="83"/>
      <c r="AD22" s="83"/>
      <c r="AE22" s="83"/>
      <c r="AF22" s="83"/>
      <c r="AG22" s="83"/>
      <c r="AH22" s="83"/>
    </row>
    <row r="23" spans="1:34" x14ac:dyDescent="0.25">
      <c r="A23" s="83"/>
      <c r="B23" s="100"/>
      <c r="C23" s="83"/>
      <c r="D23" s="83"/>
      <c r="E23" s="83"/>
      <c r="F23" s="96"/>
      <c r="G23" s="96"/>
      <c r="H23" s="83"/>
      <c r="I23" s="83"/>
      <c r="J23" s="83"/>
      <c r="K23" s="83"/>
      <c r="L23" s="83"/>
      <c r="M23" s="83"/>
      <c r="N23" s="83"/>
      <c r="O23" s="83"/>
      <c r="P23" s="83"/>
      <c r="Q23" s="83"/>
      <c r="R23" s="83"/>
      <c r="S23" s="83"/>
      <c r="T23" s="83"/>
      <c r="U23" s="83"/>
      <c r="V23" s="83"/>
      <c r="W23" s="83"/>
      <c r="X23" s="83"/>
      <c r="Y23" s="83"/>
      <c r="Z23" s="83"/>
      <c r="AA23" s="83"/>
      <c r="AB23" s="83"/>
      <c r="AC23" s="83"/>
      <c r="AD23" s="83"/>
      <c r="AE23" s="83"/>
      <c r="AF23" s="83"/>
      <c r="AG23" s="83"/>
      <c r="AH23" s="83"/>
    </row>
    <row r="24" spans="1:34" x14ac:dyDescent="0.25">
      <c r="A24" s="83"/>
      <c r="B24" s="100"/>
      <c r="C24" s="83"/>
      <c r="D24" s="83"/>
      <c r="E24" s="83"/>
      <c r="F24" s="96"/>
      <c r="G24" s="96"/>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row>
    <row r="25" spans="1:34" x14ac:dyDescent="0.25">
      <c r="A25" s="83"/>
      <c r="B25" s="100"/>
      <c r="C25" s="83"/>
      <c r="D25" s="83"/>
      <c r="E25" s="83"/>
      <c r="F25" s="96"/>
      <c r="G25" s="96"/>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row>
    <row r="26" spans="1:34" x14ac:dyDescent="0.25">
      <c r="A26" s="83"/>
      <c r="B26" s="100"/>
      <c r="C26" s="83"/>
      <c r="D26" s="83"/>
      <c r="E26" s="83"/>
      <c r="F26" s="96"/>
      <c r="G26" s="96"/>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row>
    <row r="27" spans="1:34" x14ac:dyDescent="0.25">
      <c r="A27" s="83"/>
      <c r="B27" s="100"/>
      <c r="C27" s="83"/>
      <c r="D27" s="83"/>
      <c r="E27" s="83"/>
      <c r="F27" s="96"/>
      <c r="G27" s="96"/>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row>
    <row r="28" spans="1:34" x14ac:dyDescent="0.25">
      <c r="A28" s="83"/>
      <c r="B28" s="100"/>
      <c r="C28" s="83"/>
      <c r="D28" s="83"/>
      <c r="E28" s="83"/>
      <c r="F28" s="96"/>
      <c r="G28" s="96"/>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row>
    <row r="29" spans="1:34" x14ac:dyDescent="0.25">
      <c r="A29" s="83"/>
      <c r="B29" s="100"/>
      <c r="C29" s="83"/>
      <c r="D29" s="83"/>
      <c r="E29" s="83"/>
      <c r="F29" s="96"/>
      <c r="G29" s="96"/>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row>
    <row r="30" spans="1:34" x14ac:dyDescent="0.25">
      <c r="A30" s="83"/>
      <c r="B30" s="100"/>
      <c r="C30" s="83"/>
      <c r="D30" s="83"/>
      <c r="E30" s="83"/>
      <c r="F30" s="96"/>
      <c r="G30" s="96"/>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row>
    <row r="31" spans="1:34" x14ac:dyDescent="0.25">
      <c r="A31" s="83"/>
      <c r="B31" s="100"/>
      <c r="C31" s="83"/>
      <c r="D31" s="83"/>
      <c r="E31" s="83"/>
      <c r="F31" s="96"/>
      <c r="G31" s="96"/>
      <c r="H31" s="83"/>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row>
    <row r="32" spans="1:34" x14ac:dyDescent="0.25">
      <c r="A32" s="83"/>
      <c r="B32" s="100"/>
      <c r="C32" s="83"/>
      <c r="D32" s="83"/>
      <c r="E32" s="83"/>
      <c r="F32" s="96"/>
      <c r="G32" s="96"/>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row>
    <row r="33" spans="1:34" x14ac:dyDescent="0.25">
      <c r="A33" s="83"/>
      <c r="B33" s="100"/>
      <c r="C33" s="83"/>
      <c r="D33" s="83"/>
      <c r="E33" s="83"/>
      <c r="F33" s="96"/>
      <c r="G33" s="96"/>
      <c r="H33" s="83"/>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3"/>
    </row>
    <row r="34" spans="1:34" x14ac:dyDescent="0.25">
      <c r="A34" s="83"/>
      <c r="B34" s="100"/>
      <c r="C34" s="83"/>
      <c r="D34" s="83"/>
      <c r="E34" s="83"/>
      <c r="F34" s="96"/>
      <c r="G34" s="96"/>
      <c r="H34" s="83"/>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row>
    <row r="35" spans="1:34" x14ac:dyDescent="0.25">
      <c r="A35" s="83"/>
      <c r="B35" s="100"/>
      <c r="C35" s="83"/>
      <c r="D35" s="83"/>
      <c r="E35" s="83"/>
      <c r="F35" s="96"/>
      <c r="G35" s="96"/>
      <c r="H35" s="83"/>
      <c r="I35" s="83"/>
      <c r="J35" s="83"/>
      <c r="K35" s="83"/>
      <c r="L35" s="83"/>
      <c r="M35" s="83"/>
      <c r="N35" s="83"/>
      <c r="O35" s="83"/>
      <c r="P35" s="83"/>
      <c r="Q35" s="83"/>
      <c r="R35" s="83"/>
      <c r="S35" s="83"/>
      <c r="T35" s="83"/>
      <c r="U35" s="83"/>
      <c r="V35" s="83"/>
      <c r="W35" s="83"/>
      <c r="X35" s="83"/>
      <c r="Y35" s="83"/>
      <c r="Z35" s="83"/>
      <c r="AA35" s="83"/>
      <c r="AB35" s="83"/>
      <c r="AC35" s="83"/>
      <c r="AD35" s="83"/>
      <c r="AE35" s="83"/>
      <c r="AF35" s="83"/>
      <c r="AG35" s="83"/>
      <c r="AH35" s="83"/>
    </row>
    <row r="36" spans="1:34" x14ac:dyDescent="0.25">
      <c r="A36" s="83"/>
      <c r="B36" s="100"/>
      <c r="C36" s="83"/>
      <c r="D36" s="83"/>
      <c r="E36" s="83"/>
      <c r="F36" s="96"/>
      <c r="G36" s="96"/>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row>
    <row r="37" spans="1:34" x14ac:dyDescent="0.25">
      <c r="A37" s="83"/>
      <c r="B37" s="100"/>
      <c r="C37" s="83"/>
      <c r="D37" s="83"/>
      <c r="E37" s="83"/>
      <c r="F37" s="96"/>
      <c r="G37" s="96"/>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row>
    <row r="38" spans="1:34" x14ac:dyDescent="0.25">
      <c r="A38" s="83"/>
      <c r="B38" s="100"/>
      <c r="C38" s="83"/>
      <c r="D38" s="83"/>
      <c r="E38" s="83"/>
      <c r="F38" s="96"/>
      <c r="G38" s="96"/>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row>
    <row r="39" spans="1:34" x14ac:dyDescent="0.25">
      <c r="A39" s="83"/>
      <c r="B39" s="100"/>
      <c r="C39" s="83"/>
      <c r="D39" s="83"/>
      <c r="E39" s="83"/>
      <c r="F39" s="96"/>
      <c r="G39" s="96"/>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row>
    <row r="40" spans="1:34" x14ac:dyDescent="0.25">
      <c r="A40" s="83"/>
      <c r="B40" s="100"/>
      <c r="C40" s="83"/>
      <c r="D40" s="83"/>
      <c r="E40" s="83"/>
      <c r="F40" s="96"/>
      <c r="G40" s="96"/>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row>
    <row r="41" spans="1:34" x14ac:dyDescent="0.25">
      <c r="A41" s="83"/>
      <c r="B41" s="100"/>
      <c r="C41" s="83"/>
      <c r="D41" s="83"/>
      <c r="E41" s="83"/>
      <c r="F41" s="96"/>
      <c r="G41" s="96"/>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row>
    <row r="42" spans="1:34" x14ac:dyDescent="0.25">
      <c r="A42" s="83"/>
      <c r="B42" s="100"/>
      <c r="C42" s="83"/>
      <c r="D42" s="83"/>
      <c r="E42" s="83"/>
      <c r="F42" s="96"/>
      <c r="G42" s="96"/>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row>
    <row r="43" spans="1:34" x14ac:dyDescent="0.25">
      <c r="A43" s="83"/>
      <c r="B43" s="100"/>
      <c r="C43" s="83"/>
      <c r="D43" s="83"/>
      <c r="E43" s="83"/>
      <c r="F43" s="96"/>
      <c r="G43" s="96"/>
      <c r="H43" s="83"/>
      <c r="I43" s="83"/>
      <c r="J43" s="83"/>
      <c r="K43" s="83"/>
      <c r="L43" s="83"/>
      <c r="M43" s="83"/>
      <c r="N43" s="83"/>
      <c r="O43" s="83"/>
      <c r="P43" s="83"/>
      <c r="Q43" s="83"/>
      <c r="R43" s="83"/>
      <c r="S43" s="83"/>
      <c r="T43" s="83"/>
      <c r="U43" s="83"/>
      <c r="V43" s="83"/>
      <c r="W43" s="83"/>
      <c r="X43" s="83"/>
      <c r="Y43" s="83"/>
      <c r="Z43" s="83"/>
      <c r="AA43" s="83"/>
      <c r="AB43" s="83"/>
      <c r="AC43" s="83"/>
      <c r="AD43" s="83"/>
      <c r="AE43" s="83"/>
      <c r="AF43" s="83"/>
      <c r="AG43" s="83"/>
      <c r="AH43" s="83"/>
    </row>
    <row r="44" spans="1:34" x14ac:dyDescent="0.25">
      <c r="A44" s="83"/>
      <c r="B44" s="100"/>
      <c r="C44" s="83"/>
      <c r="D44" s="83"/>
      <c r="E44" s="83"/>
      <c r="F44" s="96"/>
      <c r="G44" s="96"/>
      <c r="H44" s="83"/>
      <c r="I44" s="83"/>
      <c r="J44" s="83"/>
      <c r="K44" s="83"/>
      <c r="L44" s="83"/>
      <c r="M44" s="83"/>
      <c r="N44" s="83"/>
      <c r="O44" s="83"/>
      <c r="P44" s="83"/>
      <c r="Q44" s="83"/>
      <c r="R44" s="83"/>
      <c r="S44" s="83"/>
      <c r="T44" s="83"/>
      <c r="U44" s="83"/>
      <c r="V44" s="83"/>
      <c r="W44" s="83"/>
      <c r="X44" s="83"/>
      <c r="Y44" s="83"/>
      <c r="Z44" s="83"/>
      <c r="AA44" s="83"/>
      <c r="AB44" s="83"/>
      <c r="AC44" s="83"/>
      <c r="AD44" s="83"/>
      <c r="AE44" s="83"/>
      <c r="AF44" s="83"/>
      <c r="AG44" s="83"/>
      <c r="AH44" s="83"/>
    </row>
    <row r="45" spans="1:34" x14ac:dyDescent="0.25">
      <c r="A45" s="83"/>
      <c r="B45" s="100"/>
      <c r="C45" s="83"/>
      <c r="D45" s="83"/>
      <c r="E45" s="83"/>
      <c r="F45" s="96"/>
      <c r="G45" s="96"/>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row>
    <row r="46" spans="1:34" x14ac:dyDescent="0.25">
      <c r="A46" s="83"/>
      <c r="B46" s="100"/>
      <c r="C46" s="83"/>
      <c r="D46" s="83"/>
      <c r="E46" s="83"/>
      <c r="F46" s="96"/>
      <c r="G46" s="96"/>
      <c r="H46" s="83"/>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row>
    <row r="47" spans="1:34" x14ac:dyDescent="0.25">
      <c r="A47" s="83"/>
      <c r="B47" s="100"/>
      <c r="C47" s="83"/>
      <c r="D47" s="83"/>
      <c r="E47" s="83"/>
      <c r="F47" s="96"/>
      <c r="G47" s="96"/>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row>
    <row r="48" spans="1:34" x14ac:dyDescent="0.25">
      <c r="A48" s="83"/>
      <c r="B48" s="100"/>
      <c r="C48" s="83"/>
      <c r="D48" s="83"/>
      <c r="E48" s="83"/>
      <c r="F48" s="96"/>
      <c r="G48" s="96"/>
      <c r="H48" s="83"/>
      <c r="I48" s="83"/>
      <c r="J48" s="83"/>
      <c r="K48" s="83"/>
      <c r="L48" s="83"/>
      <c r="M48" s="83"/>
      <c r="N48" s="83"/>
      <c r="O48" s="83"/>
      <c r="P48" s="83"/>
      <c r="Q48" s="83"/>
      <c r="R48" s="83"/>
      <c r="S48" s="83"/>
      <c r="T48" s="83"/>
      <c r="U48" s="83"/>
      <c r="V48" s="83"/>
      <c r="W48" s="83"/>
      <c r="X48" s="83"/>
      <c r="Y48" s="83"/>
      <c r="Z48" s="83"/>
      <c r="AA48" s="83"/>
      <c r="AB48" s="83"/>
      <c r="AC48" s="83"/>
      <c r="AD48" s="83"/>
      <c r="AE48" s="83"/>
      <c r="AF48" s="83"/>
      <c r="AG48" s="83"/>
      <c r="AH48" s="83"/>
    </row>
    <row r="49" spans="1:34" x14ac:dyDescent="0.25">
      <c r="A49" s="83"/>
      <c r="B49" s="100"/>
      <c r="C49" s="83"/>
      <c r="D49" s="83"/>
      <c r="E49" s="83"/>
      <c r="F49" s="96"/>
      <c r="G49" s="96"/>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row>
    <row r="50" spans="1:34" x14ac:dyDescent="0.25">
      <c r="A50" s="83"/>
      <c r="B50" s="100"/>
      <c r="C50" s="83"/>
      <c r="D50" s="83"/>
      <c r="E50" s="83"/>
      <c r="F50" s="96"/>
      <c r="G50" s="96"/>
      <c r="H50" s="83"/>
      <c r="I50" s="83"/>
      <c r="J50" s="83"/>
      <c r="K50" s="83"/>
      <c r="L50" s="83"/>
      <c r="M50" s="83"/>
      <c r="N50" s="83"/>
      <c r="O50" s="83"/>
      <c r="P50" s="83"/>
      <c r="Q50" s="83"/>
      <c r="R50" s="83"/>
      <c r="S50" s="83"/>
      <c r="T50" s="83"/>
      <c r="U50" s="83"/>
      <c r="V50" s="83"/>
      <c r="W50" s="83"/>
      <c r="X50" s="83"/>
      <c r="Y50" s="83"/>
      <c r="Z50" s="83"/>
      <c r="AA50" s="83"/>
      <c r="AB50" s="83"/>
      <c r="AC50" s="83"/>
      <c r="AD50" s="83"/>
      <c r="AE50" s="83"/>
      <c r="AF50" s="83"/>
      <c r="AG50" s="83"/>
      <c r="AH50" s="83"/>
    </row>
    <row r="51" spans="1:34" x14ac:dyDescent="0.25">
      <c r="A51" s="83"/>
      <c r="B51" s="100"/>
      <c r="C51" s="83"/>
      <c r="D51" s="83"/>
      <c r="E51" s="83"/>
      <c r="F51" s="96"/>
      <c r="G51" s="96"/>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row>
    <row r="52" spans="1:34" x14ac:dyDescent="0.25">
      <c r="A52" s="83"/>
      <c r="B52" s="100"/>
      <c r="C52" s="83"/>
      <c r="D52" s="83"/>
      <c r="E52" s="83"/>
      <c r="F52" s="96"/>
      <c r="G52" s="96"/>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row>
    <row r="53" spans="1:34" x14ac:dyDescent="0.25">
      <c r="A53" s="83"/>
      <c r="B53" s="100"/>
      <c r="C53" s="83"/>
      <c r="D53" s="83"/>
      <c r="E53" s="83"/>
      <c r="F53" s="96"/>
      <c r="G53" s="96"/>
      <c r="H53" s="83"/>
      <c r="I53" s="83"/>
      <c r="J53" s="83"/>
      <c r="K53" s="83"/>
      <c r="L53" s="83"/>
      <c r="M53" s="83"/>
      <c r="N53" s="83"/>
      <c r="O53" s="83"/>
      <c r="P53" s="83"/>
      <c r="Q53" s="83"/>
      <c r="R53" s="83"/>
      <c r="S53" s="83"/>
      <c r="T53" s="83"/>
      <c r="U53" s="83"/>
      <c r="V53" s="83"/>
      <c r="W53" s="83"/>
      <c r="X53" s="83"/>
      <c r="Y53" s="83"/>
      <c r="Z53" s="83"/>
      <c r="AA53" s="83"/>
      <c r="AB53" s="83"/>
      <c r="AC53" s="83"/>
      <c r="AD53" s="83"/>
      <c r="AE53" s="83"/>
      <c r="AF53" s="83"/>
      <c r="AG53" s="83"/>
      <c r="AH53" s="83"/>
    </row>
    <row r="54" spans="1:34" x14ac:dyDescent="0.25">
      <c r="A54" s="83"/>
      <c r="B54" s="100"/>
      <c r="C54" s="83"/>
      <c r="D54" s="83"/>
      <c r="E54" s="83"/>
      <c r="F54" s="96"/>
      <c r="G54" s="96"/>
      <c r="H54" s="83"/>
      <c r="I54" s="83"/>
      <c r="J54" s="83"/>
      <c r="K54" s="83"/>
      <c r="L54" s="83"/>
      <c r="M54" s="83"/>
      <c r="N54" s="83"/>
      <c r="O54" s="83"/>
      <c r="P54" s="83"/>
      <c r="Q54" s="83"/>
      <c r="R54" s="83"/>
      <c r="S54" s="83"/>
      <c r="T54" s="83"/>
      <c r="U54" s="83"/>
      <c r="V54" s="83"/>
      <c r="W54" s="83"/>
      <c r="X54" s="83"/>
      <c r="Y54" s="83"/>
      <c r="Z54" s="83"/>
      <c r="AA54" s="83"/>
      <c r="AB54" s="83"/>
      <c r="AC54" s="83"/>
      <c r="AD54" s="83"/>
      <c r="AE54" s="83"/>
      <c r="AF54" s="83"/>
      <c r="AG54" s="83"/>
      <c r="AH54" s="83"/>
    </row>
    <row r="55" spans="1:34" x14ac:dyDescent="0.25">
      <c r="A55" s="83"/>
      <c r="B55" s="100"/>
      <c r="C55" s="83"/>
      <c r="D55" s="83"/>
      <c r="E55" s="83"/>
      <c r="F55" s="96"/>
      <c r="G55" s="96"/>
      <c r="H55" s="83"/>
      <c r="I55" s="83"/>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row>
    <row r="56" spans="1:34" x14ac:dyDescent="0.25">
      <c r="A56" s="83"/>
      <c r="B56" s="100"/>
      <c r="C56" s="83"/>
      <c r="D56" s="83"/>
      <c r="E56" s="83"/>
      <c r="F56" s="96"/>
      <c r="G56" s="96"/>
      <c r="H56" s="83"/>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row>
    <row r="57" spans="1:34" x14ac:dyDescent="0.25">
      <c r="A57" s="83"/>
      <c r="B57" s="100"/>
      <c r="C57" s="83"/>
      <c r="D57" s="83"/>
      <c r="E57" s="83"/>
      <c r="F57" s="96"/>
      <c r="G57" s="96"/>
      <c r="H57" s="83"/>
      <c r="I57" s="83"/>
      <c r="J57" s="83"/>
      <c r="K57" s="83"/>
      <c r="L57" s="83"/>
      <c r="M57" s="83"/>
      <c r="N57" s="83"/>
      <c r="O57" s="83"/>
      <c r="P57" s="83"/>
      <c r="Q57" s="83"/>
      <c r="R57" s="83"/>
      <c r="S57" s="83"/>
      <c r="T57" s="83"/>
      <c r="U57" s="83"/>
      <c r="V57" s="83"/>
      <c r="W57" s="83"/>
      <c r="X57" s="83"/>
      <c r="Y57" s="83"/>
      <c r="Z57" s="83"/>
      <c r="AA57" s="83"/>
      <c r="AB57" s="83"/>
      <c r="AC57" s="83"/>
      <c r="AD57" s="83"/>
      <c r="AE57" s="83"/>
      <c r="AF57" s="83"/>
      <c r="AG57" s="83"/>
      <c r="AH57" s="83"/>
    </row>
    <row r="58" spans="1:34" x14ac:dyDescent="0.25">
      <c r="A58" s="83"/>
      <c r="B58" s="100"/>
      <c r="C58" s="83"/>
      <c r="D58" s="83"/>
      <c r="E58" s="83"/>
      <c r="F58" s="96"/>
      <c r="G58" s="96"/>
      <c r="H58" s="83"/>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row>
    <row r="59" spans="1:34" x14ac:dyDescent="0.25">
      <c r="A59" s="83"/>
      <c r="B59" s="100"/>
      <c r="C59" s="83"/>
      <c r="D59" s="83"/>
      <c r="E59" s="83"/>
      <c r="F59" s="96"/>
      <c r="G59" s="96"/>
      <c r="H59" s="83"/>
      <c r="I59" s="83"/>
      <c r="J59" s="83"/>
      <c r="K59" s="83"/>
      <c r="L59" s="83"/>
      <c r="M59" s="83"/>
      <c r="N59" s="83"/>
      <c r="O59" s="83"/>
      <c r="P59" s="83"/>
      <c r="Q59" s="83"/>
      <c r="R59" s="83"/>
      <c r="S59" s="83"/>
      <c r="T59" s="83"/>
      <c r="U59" s="83"/>
      <c r="V59" s="83"/>
      <c r="W59" s="83"/>
      <c r="X59" s="83"/>
      <c r="Y59" s="83"/>
      <c r="Z59" s="83"/>
      <c r="AA59" s="83"/>
      <c r="AB59" s="83"/>
      <c r="AC59" s="83"/>
      <c r="AD59" s="83"/>
      <c r="AE59" s="83"/>
      <c r="AF59" s="83"/>
      <c r="AG59" s="83"/>
      <c r="AH59" s="83"/>
    </row>
  </sheetData>
  <mergeCells count="2">
    <mergeCell ref="L2:S2"/>
    <mergeCell ref="F2:H2"/>
  </mergeCells>
  <conditionalFormatting sqref="H5:H19">
    <cfRule type="dataBar" priority="2">
      <dataBar>
        <cfvo type="min"/>
        <cfvo type="max"/>
        <color rgb="FFFFB628"/>
      </dataBar>
      <extLst>
        <ext xmlns:x14="http://schemas.microsoft.com/office/spreadsheetml/2009/9/main" uri="{B025F937-C7B1-47D3-B67F-A62EFF666E3E}">
          <x14:id>{3FDEA2E9-5251-43B2-BE7C-2A209B891106}</x14:id>
        </ext>
      </extLst>
    </cfRule>
  </conditionalFormatting>
  <conditionalFormatting sqref="H21">
    <cfRule type="dataBar" priority="1">
      <dataBar>
        <cfvo type="min"/>
        <cfvo type="max"/>
        <color rgb="FFFFB628"/>
      </dataBar>
      <extLst>
        <ext xmlns:x14="http://schemas.microsoft.com/office/spreadsheetml/2009/9/main" uri="{B025F937-C7B1-47D3-B67F-A62EFF666E3E}">
          <x14:id>{4054B86C-CB8E-4DBE-84EC-0E5E992F8512}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FDEA2E9-5251-43B2-BE7C-2A209B891106}">
            <x14:dataBar minLength="0" maxLength="100" border="1" negativeBarBorderColorSameAsPositive="0">
              <x14:cfvo type="autoMin"/>
              <x14:cfvo type="autoMax"/>
              <x14:borderColor rgb="FFFFB628"/>
              <x14:negativeFillColor rgb="FFFF0000"/>
              <x14:negativeBorderColor rgb="FFFF0000"/>
              <x14:axisColor rgb="FF000000"/>
            </x14:dataBar>
          </x14:cfRule>
          <xm:sqref>H5:H19</xm:sqref>
        </x14:conditionalFormatting>
        <x14:conditionalFormatting xmlns:xm="http://schemas.microsoft.com/office/excel/2006/main">
          <x14:cfRule type="dataBar" id="{4054B86C-CB8E-4DBE-84EC-0E5E992F8512}">
            <x14:dataBar minLength="0" maxLength="100" border="1" negativeBarBorderColorSameAsPositive="0">
              <x14:cfvo type="autoMin"/>
              <x14:cfvo type="autoMax"/>
              <x14:borderColor rgb="FFFFB628"/>
              <x14:negativeFillColor rgb="FFFF0000"/>
              <x14:negativeBorderColor rgb="FFFF0000"/>
              <x14:axisColor rgb="FF000000"/>
            </x14:dataBar>
          </x14:cfRule>
          <xm:sqref>H21</xm:sqref>
        </x14:conditionalFormatting>
        <x14:conditionalFormatting xmlns:xm="http://schemas.microsoft.com/office/excel/2006/main">
          <x14:cfRule type="iconSet" priority="3" id="{8D6B1AD3-CEC1-44F0-A4AA-228145DB6D52}">
            <x14:iconSet iconSet="3Symbols2" showValue="0" custom="1">
              <x14:cfvo type="percent">
                <xm:f>0</xm:f>
              </x14:cfvo>
              <x14:cfvo type="num" gte="0">
                <xm:f>0</xm:f>
              </x14:cfvo>
              <x14:cfvo type="num">
                <xm:f>1</xm:f>
              </x14:cfvo>
              <x14:cfIcon iconSet="3Symbols" iconId="0"/>
              <x14:cfIcon iconSet="3Symbols" iconId="0"/>
              <x14:cfIcon iconSet="3Symbols" iconId="2"/>
            </x14:iconSet>
          </x14:cfRule>
          <xm:sqref>I5:I19</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F04AA-EAC5-42FE-A61D-93D5F2D4BB49}">
  <dimension ref="A1:Y108"/>
  <sheetViews>
    <sheetView showGridLines="0" zoomScale="70" zoomScaleNormal="70" workbookViewId="0">
      <pane xSplit="19" ySplit="2" topLeftCell="T3" activePane="bottomRight" state="frozen"/>
      <selection activeCell="F7" sqref="F7"/>
      <selection pane="topRight" activeCell="F7" sqref="F7"/>
      <selection pane="bottomLeft" activeCell="F7" sqref="F7"/>
      <selection pane="bottomRight" activeCell="F7" sqref="F7"/>
    </sheetView>
  </sheetViews>
  <sheetFormatPr baseColWidth="10" defaultRowHeight="15.75" x14ac:dyDescent="0.25"/>
  <cols>
    <col min="1" max="1" width="3" customWidth="1"/>
    <col min="2" max="2" width="14.375" style="1" customWidth="1"/>
    <col min="3" max="3" width="23" bestFit="1" customWidth="1"/>
    <col min="4" max="4" width="44.25" bestFit="1" customWidth="1"/>
    <col min="5" max="5" width="0.875" customWidth="1"/>
    <col min="6" max="6" width="11.625" style="3" customWidth="1"/>
    <col min="7" max="7" width="11.375" style="3" bestFit="1" customWidth="1"/>
    <col min="8" max="8" width="8.5" bestFit="1" customWidth="1"/>
    <col min="9" max="9" width="1.375" customWidth="1"/>
    <col min="10" max="10" width="5.25" customWidth="1"/>
    <col min="20" max="20" width="12.25" customWidth="1"/>
  </cols>
  <sheetData>
    <row r="1" spans="1:25" ht="10.5" customHeight="1" x14ac:dyDescent="0.25">
      <c r="A1" s="83"/>
      <c r="B1" s="100"/>
      <c r="C1" s="83"/>
      <c r="D1" s="83"/>
      <c r="E1" s="83"/>
      <c r="F1" s="96"/>
      <c r="G1" s="96"/>
      <c r="H1" s="83"/>
      <c r="I1" s="83"/>
      <c r="J1" s="83"/>
      <c r="K1" s="83"/>
      <c r="L1" s="83"/>
      <c r="M1" s="83"/>
      <c r="N1" s="83"/>
      <c r="O1" s="83"/>
      <c r="P1" s="83"/>
      <c r="Q1" s="83"/>
      <c r="R1" s="83"/>
      <c r="S1" s="83"/>
      <c r="T1" s="83"/>
    </row>
    <row r="2" spans="1:25" ht="38.25" customHeight="1" x14ac:dyDescent="0.25">
      <c r="A2" s="83"/>
      <c r="B2" s="106" t="s">
        <v>858</v>
      </c>
      <c r="C2" s="106" t="s">
        <v>516</v>
      </c>
      <c r="D2" s="106" t="s">
        <v>857</v>
      </c>
      <c r="E2" s="85"/>
      <c r="F2" s="398" t="s">
        <v>893</v>
      </c>
      <c r="G2" s="398"/>
      <c r="H2" s="398"/>
      <c r="I2" s="83"/>
      <c r="J2" s="83"/>
      <c r="K2" s="83"/>
      <c r="L2" s="83"/>
      <c r="M2" s="83"/>
      <c r="N2" s="83"/>
      <c r="O2" s="83"/>
      <c r="P2" s="83"/>
      <c r="Q2" s="83"/>
      <c r="R2" s="83"/>
      <c r="S2" s="83"/>
      <c r="T2" s="83"/>
    </row>
    <row r="3" spans="1:25" ht="23.25" x14ac:dyDescent="0.25">
      <c r="A3" s="83"/>
      <c r="B3" s="100"/>
      <c r="C3" s="97"/>
      <c r="D3" s="97"/>
      <c r="E3" s="97"/>
      <c r="F3" s="98" t="s">
        <v>871</v>
      </c>
      <c r="G3" s="98" t="s">
        <v>900</v>
      </c>
      <c r="H3" s="99"/>
      <c r="I3" s="99"/>
      <c r="J3" s="99"/>
      <c r="K3" s="83"/>
      <c r="L3" s="83"/>
      <c r="M3" s="83"/>
      <c r="N3" s="83"/>
      <c r="O3" s="83"/>
      <c r="P3" s="83"/>
      <c r="Q3" s="83"/>
      <c r="R3" s="83"/>
      <c r="S3" s="83"/>
      <c r="T3" s="83"/>
    </row>
    <row r="4" spans="1:25" ht="5.25" customHeight="1" thickBot="1" x14ac:dyDescent="0.3">
      <c r="A4" s="83"/>
      <c r="B4" s="100"/>
      <c r="C4" s="83"/>
      <c r="D4" s="83"/>
      <c r="E4" s="83"/>
      <c r="F4" s="96"/>
      <c r="G4" s="96"/>
      <c r="H4" s="83"/>
      <c r="I4" s="83"/>
      <c r="J4" s="83"/>
      <c r="K4" s="83"/>
      <c r="L4" s="83"/>
      <c r="M4" s="83"/>
      <c r="N4" s="83"/>
      <c r="O4" s="83"/>
      <c r="P4" s="83"/>
      <c r="Q4" s="83"/>
      <c r="R4" s="83"/>
      <c r="S4" s="83"/>
      <c r="T4" s="83"/>
    </row>
    <row r="5" spans="1:25" s="94" customFormat="1" x14ac:dyDescent="0.25">
      <c r="A5" s="99"/>
      <c r="B5" s="415" t="s">
        <v>884</v>
      </c>
      <c r="C5" s="420" t="s">
        <v>877</v>
      </c>
      <c r="D5" s="102" t="s">
        <v>22</v>
      </c>
      <c r="E5" s="99"/>
      <c r="F5" s="107">
        <f>COUNTIFS(Operacional!H:H,"QA",Operacional!C:C,'Zoom QA'!D5)</f>
        <v>5</v>
      </c>
      <c r="G5" s="127">
        <f>SUMIFS(Operacional!F:F,Operacional!H:H,"QA",Operacional!C:C,'Zoom QA'!D5)</f>
        <v>1</v>
      </c>
      <c r="H5" s="128">
        <f>+G5/F5</f>
        <v>0.2</v>
      </c>
      <c r="I5" s="99"/>
      <c r="J5" s="99"/>
      <c r="K5" s="99"/>
      <c r="L5" s="99"/>
      <c r="M5" s="99"/>
      <c r="N5" s="99"/>
      <c r="O5" s="99"/>
      <c r="P5" s="99"/>
      <c r="Q5" s="99"/>
      <c r="R5" s="99"/>
      <c r="S5" s="99"/>
      <c r="T5" s="99"/>
    </row>
    <row r="6" spans="1:25" s="94" customFormat="1" x14ac:dyDescent="0.25">
      <c r="A6" s="99"/>
      <c r="B6" s="416"/>
      <c r="C6" s="413"/>
      <c r="D6" s="104" t="s">
        <v>25</v>
      </c>
      <c r="E6" s="99"/>
      <c r="F6" s="109">
        <f>COUNTIFS(Operacional!H:H,"QA",Operacional!C:C,'Zoom QA'!D6)</f>
        <v>21</v>
      </c>
      <c r="G6" s="129">
        <f>SUMIFS(Operacional!F:F,Operacional!H:H,"QA",Operacional!C:C,'Zoom QA'!D6)</f>
        <v>12</v>
      </c>
      <c r="H6" s="130">
        <f t="shared" ref="H6:H19" si="0">+G6/F6</f>
        <v>0.5714285714285714</v>
      </c>
      <c r="I6" s="99"/>
      <c r="J6" s="99"/>
      <c r="K6" s="99"/>
      <c r="L6" s="99"/>
      <c r="M6" s="99"/>
      <c r="N6" s="99"/>
      <c r="O6" s="99"/>
      <c r="P6" s="99"/>
      <c r="Q6" s="99"/>
      <c r="R6" s="99"/>
      <c r="S6" s="99"/>
      <c r="T6" s="99"/>
    </row>
    <row r="7" spans="1:25" s="94" customFormat="1" x14ac:dyDescent="0.25">
      <c r="A7" s="99"/>
      <c r="B7" s="416"/>
      <c r="C7" s="413"/>
      <c r="D7" s="104" t="s">
        <v>23</v>
      </c>
      <c r="E7" s="99"/>
      <c r="F7" s="109">
        <f>COUNTIFS(Operacional!H:H,"QA",Operacional!C:C,'Zoom QA'!D7)</f>
        <v>10</v>
      </c>
      <c r="G7" s="129">
        <f>SUMIFS(Operacional!F:F,Operacional!H:H,"QA",Operacional!C:C,'Zoom QA'!D7)</f>
        <v>10</v>
      </c>
      <c r="H7" s="130">
        <f t="shared" si="0"/>
        <v>1</v>
      </c>
      <c r="I7" s="99"/>
      <c r="J7" s="99"/>
      <c r="K7" s="99"/>
      <c r="L7" s="99"/>
      <c r="M7" s="99"/>
      <c r="N7" s="99"/>
      <c r="O7" s="99"/>
      <c r="P7" s="99"/>
      <c r="Q7" s="99"/>
      <c r="R7" s="99"/>
      <c r="S7" s="99"/>
      <c r="T7" s="99"/>
      <c r="W7" s="126"/>
    </row>
    <row r="8" spans="1:25" s="94" customFormat="1" x14ac:dyDescent="0.25">
      <c r="A8" s="99"/>
      <c r="B8" s="416"/>
      <c r="C8" s="413"/>
      <c r="D8" s="104" t="s">
        <v>24</v>
      </c>
      <c r="E8" s="99"/>
      <c r="F8" s="109">
        <f>COUNTIFS(Operacional!H:H,"QA",Operacional!C:C,'Zoom QA'!D8)</f>
        <v>6</v>
      </c>
      <c r="G8" s="129">
        <f>SUMIFS(Operacional!F:F,Operacional!H:H,"QA",Operacional!C:C,'Zoom QA'!D8)</f>
        <v>6</v>
      </c>
      <c r="H8" s="130">
        <f t="shared" si="0"/>
        <v>1</v>
      </c>
      <c r="I8" s="99"/>
      <c r="J8" s="99"/>
      <c r="K8" s="99"/>
      <c r="L8" s="99"/>
      <c r="M8" s="99"/>
      <c r="N8" s="99"/>
      <c r="O8" s="99"/>
      <c r="P8" s="99"/>
      <c r="Q8" s="99"/>
      <c r="R8" s="99"/>
      <c r="S8" s="99"/>
      <c r="T8" s="99"/>
      <c r="V8" s="94" t="s">
        <v>889</v>
      </c>
      <c r="W8" s="126">
        <f t="shared" ref="W8:W10" si="1">+Y8/X8</f>
        <v>0.7142857142857143</v>
      </c>
      <c r="X8" s="94">
        <f>SUM(F18:F19)</f>
        <v>7</v>
      </c>
      <c r="Y8" s="94">
        <f>SUM(G18:G19)</f>
        <v>5</v>
      </c>
    </row>
    <row r="9" spans="1:25" s="94" customFormat="1" x14ac:dyDescent="0.25">
      <c r="A9" s="99"/>
      <c r="B9" s="416"/>
      <c r="C9" s="413" t="s">
        <v>894</v>
      </c>
      <c r="D9" s="104" t="s">
        <v>39</v>
      </c>
      <c r="E9" s="99"/>
      <c r="F9" s="109">
        <f>COUNTIFS(Operacional!H:H,"QA",Operacional!C:C,'Zoom QA'!D9)</f>
        <v>4</v>
      </c>
      <c r="G9" s="129">
        <f>SUMIFS(Operacional!F:F,Operacional!H:H,"QA",Operacional!C:C,'Zoom QA'!D9)</f>
        <v>3</v>
      </c>
      <c r="H9" s="130">
        <f t="shared" si="0"/>
        <v>0.75</v>
      </c>
      <c r="I9" s="99"/>
      <c r="J9" s="99"/>
      <c r="K9" s="99"/>
      <c r="L9" s="99"/>
      <c r="M9" s="99"/>
      <c r="N9" s="99"/>
      <c r="O9" s="99"/>
      <c r="P9" s="99"/>
      <c r="Q9" s="99"/>
      <c r="R9" s="99"/>
      <c r="S9" s="99"/>
      <c r="T9" s="99"/>
      <c r="V9" s="94" t="s">
        <v>888</v>
      </c>
      <c r="W9" s="126">
        <f>+Y9/X9</f>
        <v>0.64179104477611937</v>
      </c>
      <c r="X9" s="94">
        <f>+SUM(F5:F17)</f>
        <v>67</v>
      </c>
      <c r="Y9" s="94">
        <f>+SUM(G5:G17)</f>
        <v>43</v>
      </c>
    </row>
    <row r="10" spans="1:25" s="94" customFormat="1" x14ac:dyDescent="0.25">
      <c r="A10" s="99"/>
      <c r="B10" s="416"/>
      <c r="C10" s="413"/>
      <c r="D10" s="104" t="s">
        <v>40</v>
      </c>
      <c r="E10" s="99"/>
      <c r="F10" s="109">
        <f>COUNTIFS(Operacional!H:H,"QA",Operacional!C:C,'Zoom QA'!D10)</f>
        <v>4</v>
      </c>
      <c r="G10" s="129">
        <f>SUMIFS(Operacional!F:F,Operacional!H:H,"QA",Operacional!C:C,'Zoom QA'!D10)</f>
        <v>3</v>
      </c>
      <c r="H10" s="130">
        <f t="shared" si="0"/>
        <v>0.75</v>
      </c>
      <c r="I10" s="99"/>
      <c r="J10" s="99"/>
      <c r="K10" s="99"/>
      <c r="L10" s="99"/>
      <c r="M10" s="99"/>
      <c r="N10" s="99"/>
      <c r="O10" s="99"/>
      <c r="P10" s="99"/>
      <c r="Q10" s="99"/>
      <c r="R10" s="99"/>
      <c r="S10" s="99"/>
      <c r="T10" s="99"/>
      <c r="V10" s="94" t="s">
        <v>891</v>
      </c>
      <c r="W10" s="126">
        <f t="shared" si="1"/>
        <v>0.64864864864864868</v>
      </c>
      <c r="X10" s="94">
        <f>SUM(X7:X9)</f>
        <v>74</v>
      </c>
      <c r="Y10" s="94">
        <f>SUM(Y7:Y9)</f>
        <v>48</v>
      </c>
    </row>
    <row r="11" spans="1:25" s="94" customFormat="1" x14ac:dyDescent="0.25">
      <c r="A11" s="99"/>
      <c r="B11" s="416"/>
      <c r="C11" s="413"/>
      <c r="D11" s="104" t="s">
        <v>45</v>
      </c>
      <c r="E11" s="99"/>
      <c r="F11" s="109">
        <f>COUNTIFS(Operacional!H:H,"QA",Operacional!C:C,'Zoom QA'!D11)</f>
        <v>1</v>
      </c>
      <c r="G11" s="129">
        <f>SUMIFS(Operacional!F:F,Operacional!H:H,"QA",Operacional!C:C,'Zoom QA'!D11)</f>
        <v>1</v>
      </c>
      <c r="H11" s="130">
        <f t="shared" si="0"/>
        <v>1</v>
      </c>
      <c r="I11" s="99"/>
      <c r="J11" s="99"/>
      <c r="K11" s="99"/>
      <c r="L11" s="99"/>
      <c r="M11" s="99"/>
      <c r="N11" s="99"/>
      <c r="O11" s="99"/>
      <c r="P11" s="99"/>
      <c r="Q11" s="99"/>
      <c r="R11" s="99"/>
      <c r="S11" s="99"/>
      <c r="T11" s="99"/>
    </row>
    <row r="12" spans="1:25" s="94" customFormat="1" x14ac:dyDescent="0.25">
      <c r="A12" s="99"/>
      <c r="B12" s="416"/>
      <c r="C12" s="413"/>
      <c r="D12" s="104" t="s">
        <v>243</v>
      </c>
      <c r="E12" s="99"/>
      <c r="F12" s="109">
        <f>COUNTIFS(Operacional!H:H,"QA",Operacional!C:C,'Zoom QA'!D12)</f>
        <v>3</v>
      </c>
      <c r="G12" s="129">
        <f>SUMIFS(Operacional!F:F,Operacional!H:H,"QA",Operacional!C:C,'Zoom QA'!D12)</f>
        <v>1</v>
      </c>
      <c r="H12" s="130">
        <f t="shared" si="0"/>
        <v>0.33333333333333331</v>
      </c>
      <c r="I12" s="99"/>
      <c r="J12" s="99"/>
      <c r="K12" s="99"/>
      <c r="L12" s="99"/>
      <c r="M12" s="99"/>
      <c r="N12" s="99"/>
      <c r="O12" s="99"/>
      <c r="P12" s="99"/>
      <c r="Q12" s="99"/>
      <c r="R12" s="99"/>
      <c r="S12" s="99"/>
      <c r="T12" s="99"/>
    </row>
    <row r="13" spans="1:25" s="94" customFormat="1" x14ac:dyDescent="0.25">
      <c r="A13" s="99"/>
      <c r="B13" s="416"/>
      <c r="C13" s="413"/>
      <c r="D13" s="104" t="s">
        <v>43</v>
      </c>
      <c r="E13" s="99"/>
      <c r="F13" s="109">
        <f>COUNTIFS(Operacional!H:H,"QA",Operacional!C:C,'Zoom QA'!D13)</f>
        <v>3</v>
      </c>
      <c r="G13" s="129">
        <f>SUMIFS(Operacional!F:F,Operacional!H:H,"QA",Operacional!C:C,'Zoom QA'!D13)</f>
        <v>0</v>
      </c>
      <c r="H13" s="130">
        <f t="shared" si="0"/>
        <v>0</v>
      </c>
      <c r="I13" s="99"/>
      <c r="J13" s="99"/>
      <c r="K13" s="99"/>
      <c r="L13" s="99"/>
      <c r="M13" s="99"/>
      <c r="N13" s="99"/>
      <c r="O13" s="99"/>
      <c r="P13" s="99"/>
      <c r="Q13" s="99"/>
      <c r="R13" s="99"/>
      <c r="S13" s="99"/>
      <c r="T13" s="99"/>
    </row>
    <row r="14" spans="1:25" s="94" customFormat="1" x14ac:dyDescent="0.25">
      <c r="A14" s="99"/>
      <c r="B14" s="416"/>
      <c r="C14" s="413"/>
      <c r="D14" s="104" t="s">
        <v>44</v>
      </c>
      <c r="E14" s="99"/>
      <c r="F14" s="109">
        <f>COUNTIFS(Operacional!H:H,"QA",Operacional!C:C,'Zoom QA'!D14)</f>
        <v>3</v>
      </c>
      <c r="G14" s="129">
        <f>SUMIFS(Operacional!F:F,Operacional!H:H,"QA",Operacional!C:C,'Zoom QA'!D14)</f>
        <v>0</v>
      </c>
      <c r="H14" s="130">
        <f t="shared" si="0"/>
        <v>0</v>
      </c>
      <c r="I14" s="99"/>
      <c r="J14" s="99"/>
      <c r="K14" s="99"/>
      <c r="L14" s="99"/>
      <c r="M14" s="99"/>
      <c r="N14" s="99"/>
      <c r="O14" s="99"/>
      <c r="P14" s="99"/>
      <c r="Q14" s="99"/>
      <c r="R14" s="99"/>
      <c r="S14" s="99"/>
      <c r="T14" s="99"/>
    </row>
    <row r="15" spans="1:25" s="94" customFormat="1" x14ac:dyDescent="0.25">
      <c r="A15" s="99"/>
      <c r="B15" s="416"/>
      <c r="C15" s="413"/>
      <c r="D15" s="104" t="s">
        <v>42</v>
      </c>
      <c r="E15" s="99"/>
      <c r="F15" s="109">
        <f>COUNTIFS(Operacional!H:H,"QA",Operacional!C:C,'Zoom QA'!D15)</f>
        <v>2</v>
      </c>
      <c r="G15" s="129">
        <f>SUMIFS(Operacional!F:F,Operacional!H:H,"QA",Operacional!C:C,'Zoom QA'!D15)</f>
        <v>2</v>
      </c>
      <c r="H15" s="130">
        <f t="shared" si="0"/>
        <v>1</v>
      </c>
      <c r="I15" s="99"/>
      <c r="J15" s="99"/>
      <c r="K15" s="99"/>
      <c r="L15" s="99"/>
      <c r="M15" s="99"/>
      <c r="N15" s="99"/>
      <c r="O15" s="99"/>
      <c r="P15" s="99"/>
      <c r="Q15" s="99"/>
      <c r="R15" s="99"/>
      <c r="S15" s="99"/>
      <c r="T15" s="99"/>
    </row>
    <row r="16" spans="1:25" s="94" customFormat="1" x14ac:dyDescent="0.25">
      <c r="A16" s="99"/>
      <c r="B16" s="416"/>
      <c r="C16" s="125" t="s">
        <v>878</v>
      </c>
      <c r="D16" s="104" t="s">
        <v>329</v>
      </c>
      <c r="E16" s="99"/>
      <c r="F16" s="109">
        <f>COUNTIFS(Operacional!H:H,"QA",Operacional!C:C,'Zoom QA'!D16)</f>
        <v>1</v>
      </c>
      <c r="G16" s="129">
        <f>SUMIFS(Operacional!F:F,Operacional!H:H,"QA",Operacional!C:C,'Zoom QA'!D16)</f>
        <v>1</v>
      </c>
      <c r="H16" s="130">
        <f t="shared" si="0"/>
        <v>1</v>
      </c>
      <c r="I16" s="99"/>
      <c r="J16" s="99"/>
      <c r="K16" s="99"/>
      <c r="L16" s="99"/>
      <c r="M16" s="99"/>
      <c r="N16" s="99"/>
      <c r="O16" s="99"/>
      <c r="P16" s="99"/>
      <c r="Q16" s="99"/>
      <c r="R16" s="99"/>
      <c r="S16" s="99"/>
      <c r="T16" s="99"/>
    </row>
    <row r="17" spans="1:20" s="94" customFormat="1" x14ac:dyDescent="0.25">
      <c r="A17" s="99"/>
      <c r="B17" s="417"/>
      <c r="C17" s="125" t="s">
        <v>16</v>
      </c>
      <c r="D17" s="104" t="s">
        <v>27</v>
      </c>
      <c r="E17" s="99"/>
      <c r="F17" s="109">
        <f>COUNTIFS(Operacional!H:H,"QA",Operacional!C:C,'Zoom QA'!D17)</f>
        <v>4</v>
      </c>
      <c r="G17" s="129">
        <f>SUMIFS(Operacional!F:F,Operacional!H:H,"QA",Operacional!C:C,'Zoom QA'!D17)</f>
        <v>3</v>
      </c>
      <c r="H17" s="130">
        <f t="shared" si="0"/>
        <v>0.75</v>
      </c>
      <c r="I17" s="99"/>
      <c r="J17" s="99"/>
      <c r="K17" s="99"/>
      <c r="L17" s="99"/>
      <c r="M17" s="99"/>
      <c r="N17" s="99"/>
      <c r="O17" s="99"/>
      <c r="P17" s="99"/>
      <c r="Q17" s="99"/>
      <c r="R17" s="99"/>
      <c r="S17" s="99"/>
      <c r="T17" s="99"/>
    </row>
    <row r="18" spans="1:20" s="94" customFormat="1" x14ac:dyDescent="0.25">
      <c r="A18" s="99"/>
      <c r="B18" s="418" t="s">
        <v>885</v>
      </c>
      <c r="C18" s="413" t="s">
        <v>187</v>
      </c>
      <c r="D18" s="104" t="s">
        <v>702</v>
      </c>
      <c r="E18" s="99"/>
      <c r="F18" s="109">
        <f>COUNTIFS(Estandarización!H:H,"QA",Estandarización!C:C,'Zoom QA'!D18)</f>
        <v>3</v>
      </c>
      <c r="G18" s="129">
        <f>SUMIFS(Estandarización!F:F,Estandarización!H:H,"QA",Estandarización!C:C,'Zoom QA'!D18)</f>
        <v>2</v>
      </c>
      <c r="H18" s="130">
        <f t="shared" si="0"/>
        <v>0.66666666666666663</v>
      </c>
      <c r="I18" s="99"/>
      <c r="J18" s="99"/>
      <c r="K18" s="99"/>
      <c r="L18" s="99"/>
      <c r="M18" s="99"/>
      <c r="N18" s="99"/>
      <c r="O18" s="99"/>
      <c r="P18" s="99"/>
      <c r="Q18" s="99"/>
      <c r="R18" s="99"/>
      <c r="S18" s="99"/>
      <c r="T18" s="99"/>
    </row>
    <row r="19" spans="1:20" s="94" customFormat="1" ht="16.5" thickBot="1" x14ac:dyDescent="0.3">
      <c r="A19" s="99"/>
      <c r="B19" s="419"/>
      <c r="C19" s="414"/>
      <c r="D19" s="105" t="s">
        <v>283</v>
      </c>
      <c r="E19" s="169"/>
      <c r="F19" s="111">
        <f>COUNTIFS(Estandarización!H:H,"QA",Estandarización!C:C,'Zoom QA'!D19)</f>
        <v>4</v>
      </c>
      <c r="G19" s="131">
        <f>SUMIFS(Estandarización!F:F,Estandarización!H:H,"QA",Estandarización!C:C,'Zoom QA'!D19)</f>
        <v>3</v>
      </c>
      <c r="H19" s="132">
        <f t="shared" si="0"/>
        <v>0.75</v>
      </c>
      <c r="I19" s="99"/>
      <c r="J19" s="99"/>
      <c r="K19" s="99"/>
      <c r="L19" s="99"/>
      <c r="M19" s="99"/>
      <c r="N19" s="99"/>
      <c r="O19" s="99"/>
      <c r="P19" s="99"/>
      <c r="Q19" s="99"/>
      <c r="R19" s="99"/>
      <c r="S19" s="99"/>
      <c r="T19" s="99"/>
    </row>
    <row r="20" spans="1:20" x14ac:dyDescent="0.25">
      <c r="A20" s="83"/>
      <c r="B20" s="100"/>
      <c r="C20" s="83"/>
      <c r="D20" s="83"/>
      <c r="E20" s="83"/>
      <c r="F20" s="83"/>
      <c r="G20" s="83"/>
      <c r="H20" s="83"/>
      <c r="I20" s="83"/>
      <c r="J20" s="83"/>
      <c r="K20" s="83"/>
      <c r="L20" s="83"/>
      <c r="M20" s="83"/>
      <c r="N20" s="83"/>
      <c r="O20" s="83"/>
      <c r="P20" s="83"/>
      <c r="Q20" s="83"/>
      <c r="R20" s="83"/>
      <c r="S20" s="83"/>
      <c r="T20" s="83"/>
    </row>
    <row r="21" spans="1:20" ht="21.75" thickBot="1" x14ac:dyDescent="0.3">
      <c r="A21" s="83"/>
      <c r="B21" s="100"/>
      <c r="C21" s="83"/>
      <c r="D21" s="112" t="s">
        <v>871</v>
      </c>
      <c r="E21" s="99"/>
      <c r="F21" s="112">
        <f>SUM(F5:F19)</f>
        <v>74</v>
      </c>
      <c r="G21" s="112">
        <f>SUM(G5:G19)</f>
        <v>48</v>
      </c>
      <c r="H21" s="119">
        <f t="shared" ref="H21" si="2">+G21/F21</f>
        <v>0.64864864864864868</v>
      </c>
      <c r="I21" s="83"/>
      <c r="J21" s="83"/>
      <c r="K21" s="83"/>
      <c r="L21" s="83"/>
      <c r="M21" s="83"/>
      <c r="N21" s="83"/>
      <c r="O21" s="83"/>
      <c r="P21" s="83"/>
      <c r="Q21" s="83"/>
      <c r="R21" s="83"/>
      <c r="S21" s="83"/>
      <c r="T21" s="83"/>
    </row>
    <row r="22" spans="1:20" x14ac:dyDescent="0.25">
      <c r="A22" s="83"/>
      <c r="B22" s="100"/>
      <c r="C22" s="83"/>
      <c r="D22" s="83"/>
      <c r="E22" s="83"/>
      <c r="F22" s="83"/>
      <c r="G22" s="83"/>
      <c r="H22" s="83"/>
      <c r="I22" s="83"/>
      <c r="J22" s="83"/>
      <c r="K22" s="83"/>
      <c r="L22" s="83"/>
      <c r="M22" s="83"/>
      <c r="N22" s="83"/>
      <c r="O22" s="83"/>
      <c r="P22" s="83"/>
      <c r="Q22" s="83"/>
      <c r="R22" s="83"/>
      <c r="S22" s="83"/>
      <c r="T22" s="83"/>
    </row>
    <row r="23" spans="1:20" x14ac:dyDescent="0.25">
      <c r="A23" s="83"/>
      <c r="B23" s="100"/>
      <c r="C23" s="83"/>
      <c r="D23" s="83"/>
      <c r="E23" s="83"/>
      <c r="F23" s="83"/>
      <c r="G23" s="83"/>
      <c r="H23" s="83"/>
      <c r="I23" s="83"/>
      <c r="J23" s="83"/>
      <c r="K23" s="83"/>
      <c r="L23" s="83"/>
      <c r="M23" s="83"/>
      <c r="N23" s="83"/>
      <c r="O23" s="83"/>
      <c r="P23" s="83"/>
      <c r="Q23" s="83"/>
      <c r="R23" s="83"/>
      <c r="S23" s="83"/>
      <c r="T23" s="83"/>
    </row>
    <row r="24" spans="1:20" x14ac:dyDescent="0.25">
      <c r="A24" s="83"/>
      <c r="B24" s="100"/>
      <c r="C24" s="83"/>
      <c r="D24" s="83"/>
      <c r="E24" s="83"/>
      <c r="F24" s="83"/>
      <c r="G24" s="83"/>
      <c r="H24" s="83"/>
      <c r="I24" s="83"/>
      <c r="J24" s="83"/>
      <c r="K24" s="83"/>
      <c r="L24" s="83"/>
      <c r="M24" s="83"/>
      <c r="N24" s="83"/>
      <c r="O24" s="83"/>
      <c r="P24" s="83"/>
      <c r="Q24" s="83"/>
      <c r="R24" s="83"/>
      <c r="S24" s="83"/>
      <c r="T24" s="83"/>
    </row>
    <row r="25" spans="1:20" x14ac:dyDescent="0.25">
      <c r="A25" s="83"/>
      <c r="B25" s="100"/>
      <c r="C25" s="83"/>
      <c r="D25" s="83"/>
      <c r="E25" s="83"/>
      <c r="F25" s="83"/>
      <c r="G25" s="83"/>
      <c r="H25" s="83"/>
      <c r="I25" s="83"/>
      <c r="J25" s="83"/>
      <c r="K25" s="83"/>
      <c r="L25" s="83"/>
      <c r="M25" s="83"/>
      <c r="N25" s="83"/>
      <c r="O25" s="83"/>
      <c r="P25" s="83"/>
      <c r="Q25" s="83"/>
      <c r="R25" s="83"/>
      <c r="S25" s="83"/>
      <c r="T25" s="83"/>
    </row>
    <row r="26" spans="1:20" x14ac:dyDescent="0.25">
      <c r="A26" s="83"/>
      <c r="B26" s="100"/>
      <c r="C26" s="83"/>
      <c r="D26" s="83"/>
      <c r="E26" s="83"/>
      <c r="F26" s="83"/>
      <c r="G26" s="83"/>
      <c r="H26" s="83"/>
      <c r="I26" s="83"/>
      <c r="J26" s="83"/>
      <c r="K26" s="83"/>
      <c r="L26" s="83"/>
      <c r="M26" s="83"/>
      <c r="N26" s="83"/>
      <c r="O26" s="83"/>
      <c r="P26" s="83"/>
      <c r="Q26" s="83"/>
      <c r="R26" s="83"/>
      <c r="S26" s="83"/>
      <c r="T26" s="83"/>
    </row>
    <row r="27" spans="1:20" x14ac:dyDescent="0.25">
      <c r="A27" s="83"/>
      <c r="B27" s="100"/>
      <c r="C27" s="83"/>
      <c r="D27" s="83"/>
      <c r="E27" s="83"/>
      <c r="F27" s="83"/>
      <c r="G27" s="83"/>
      <c r="H27" s="83"/>
      <c r="I27" s="83"/>
      <c r="J27" s="83"/>
      <c r="K27" s="83"/>
      <c r="L27" s="83"/>
      <c r="M27" s="83"/>
      <c r="N27" s="83"/>
      <c r="O27" s="83"/>
      <c r="P27" s="83"/>
      <c r="Q27" s="83"/>
      <c r="R27" s="83"/>
      <c r="S27" s="83"/>
      <c r="T27" s="83"/>
    </row>
    <row r="28" spans="1:20" x14ac:dyDescent="0.25">
      <c r="A28" s="83"/>
      <c r="B28" s="100"/>
      <c r="C28" s="83"/>
      <c r="D28" s="83"/>
      <c r="E28" s="83"/>
      <c r="F28" s="83"/>
      <c r="G28" s="83"/>
      <c r="H28" s="83"/>
      <c r="I28" s="83"/>
      <c r="J28" s="83"/>
      <c r="K28" s="83"/>
      <c r="L28" s="83"/>
      <c r="M28" s="83"/>
      <c r="N28" s="83"/>
      <c r="O28" s="83"/>
      <c r="P28" s="83"/>
      <c r="Q28" s="83"/>
      <c r="R28" s="83"/>
      <c r="S28" s="83"/>
      <c r="T28" s="83"/>
    </row>
    <row r="29" spans="1:20" x14ac:dyDescent="0.25">
      <c r="A29" s="83"/>
      <c r="B29" s="100"/>
      <c r="C29" s="83"/>
      <c r="D29" s="83"/>
      <c r="E29" s="83"/>
      <c r="F29" s="83"/>
      <c r="G29" s="83"/>
      <c r="H29" s="83"/>
      <c r="I29" s="83"/>
      <c r="J29" s="83"/>
      <c r="K29" s="83"/>
      <c r="L29" s="83"/>
      <c r="M29" s="83"/>
      <c r="N29" s="83"/>
      <c r="O29" s="83"/>
      <c r="P29" s="83"/>
      <c r="Q29" s="83"/>
      <c r="R29" s="83"/>
      <c r="S29" s="83"/>
      <c r="T29" s="83"/>
    </row>
    <row r="30" spans="1:20" x14ac:dyDescent="0.25">
      <c r="A30" s="83"/>
      <c r="B30" s="100"/>
      <c r="C30" s="83"/>
      <c r="D30" s="83"/>
      <c r="E30" s="83"/>
      <c r="F30" s="83"/>
      <c r="G30" s="83"/>
      <c r="H30" s="83"/>
      <c r="I30" s="83"/>
      <c r="J30" s="83"/>
      <c r="K30" s="83"/>
      <c r="L30" s="83"/>
      <c r="M30" s="83"/>
      <c r="N30" s="83"/>
      <c r="O30" s="83"/>
      <c r="P30" s="83"/>
      <c r="Q30" s="83"/>
      <c r="R30" s="83"/>
      <c r="S30" s="83"/>
      <c r="T30" s="83"/>
    </row>
    <row r="31" spans="1:20" x14ac:dyDescent="0.25">
      <c r="A31" s="83"/>
      <c r="B31" s="100"/>
      <c r="C31" s="83"/>
      <c r="D31" s="83"/>
      <c r="E31" s="83"/>
      <c r="F31" s="83"/>
      <c r="G31" s="83"/>
      <c r="H31" s="83"/>
      <c r="I31" s="83"/>
      <c r="J31" s="83"/>
      <c r="K31" s="83"/>
      <c r="L31" s="83"/>
      <c r="M31" s="83"/>
      <c r="N31" s="83"/>
      <c r="O31" s="83"/>
      <c r="P31" s="83"/>
      <c r="Q31" s="83"/>
      <c r="R31" s="83"/>
      <c r="S31" s="83"/>
      <c r="T31" s="83"/>
    </row>
    <row r="32" spans="1:20" x14ac:dyDescent="0.25">
      <c r="A32" s="83"/>
      <c r="B32" s="100"/>
      <c r="C32" s="83"/>
      <c r="D32" s="83"/>
      <c r="E32" s="83"/>
      <c r="F32" s="83"/>
      <c r="G32" s="83"/>
      <c r="H32" s="83"/>
      <c r="I32" s="83"/>
      <c r="J32" s="83"/>
      <c r="K32" s="83"/>
      <c r="L32" s="83"/>
      <c r="M32" s="83"/>
      <c r="N32" s="83"/>
      <c r="O32" s="83"/>
      <c r="P32" s="83"/>
      <c r="Q32" s="83"/>
      <c r="R32" s="83"/>
      <c r="S32" s="83"/>
      <c r="T32" s="83"/>
    </row>
    <row r="33" spans="1:20" x14ac:dyDescent="0.25">
      <c r="A33" s="83"/>
      <c r="B33" s="100"/>
      <c r="C33" s="83"/>
      <c r="D33" s="83"/>
      <c r="E33" s="83"/>
      <c r="F33" s="83"/>
      <c r="G33" s="83"/>
      <c r="H33" s="83"/>
      <c r="I33" s="83"/>
      <c r="J33" s="83"/>
      <c r="K33" s="83"/>
      <c r="L33" s="83"/>
      <c r="M33" s="83"/>
      <c r="N33" s="83"/>
      <c r="O33" s="83"/>
      <c r="P33" s="83"/>
      <c r="Q33" s="83"/>
      <c r="R33" s="83"/>
      <c r="S33" s="83"/>
      <c r="T33" s="83"/>
    </row>
    <row r="34" spans="1:20" x14ac:dyDescent="0.25">
      <c r="A34" s="83"/>
      <c r="B34" s="100"/>
      <c r="C34" s="83"/>
      <c r="D34" s="83"/>
      <c r="E34" s="83"/>
      <c r="F34" s="83"/>
      <c r="G34" s="83"/>
      <c r="H34" s="83"/>
      <c r="I34" s="83"/>
      <c r="J34" s="83"/>
      <c r="K34" s="83"/>
      <c r="L34" s="83"/>
      <c r="M34" s="83"/>
      <c r="N34" s="83"/>
      <c r="O34" s="83"/>
      <c r="P34" s="83"/>
      <c r="Q34" s="83"/>
      <c r="R34" s="83"/>
      <c r="S34" s="83"/>
      <c r="T34" s="83"/>
    </row>
    <row r="35" spans="1:20" x14ac:dyDescent="0.25">
      <c r="A35" s="83"/>
      <c r="B35" s="100"/>
      <c r="C35" s="83"/>
      <c r="D35" s="83"/>
      <c r="E35" s="83"/>
      <c r="F35" s="83"/>
      <c r="G35" s="83"/>
      <c r="H35" s="83"/>
      <c r="I35" s="83"/>
      <c r="J35" s="83"/>
      <c r="K35" s="83"/>
      <c r="L35" s="83"/>
      <c r="M35" s="83"/>
      <c r="N35" s="83"/>
      <c r="O35" s="83"/>
      <c r="P35" s="83"/>
      <c r="Q35" s="83"/>
      <c r="R35" s="83"/>
      <c r="S35" s="83"/>
      <c r="T35" s="83"/>
    </row>
    <row r="36" spans="1:20" x14ac:dyDescent="0.25">
      <c r="A36" s="83"/>
      <c r="B36" s="100"/>
      <c r="C36" s="83"/>
      <c r="D36" s="83"/>
      <c r="E36" s="83"/>
      <c r="F36" s="83"/>
      <c r="G36" s="83"/>
      <c r="H36" s="83"/>
      <c r="I36" s="83"/>
      <c r="J36" s="83"/>
      <c r="K36" s="83"/>
      <c r="L36" s="83"/>
      <c r="M36" s="83"/>
      <c r="N36" s="83"/>
      <c r="O36" s="83"/>
      <c r="P36" s="83"/>
      <c r="Q36" s="83"/>
      <c r="R36" s="83"/>
      <c r="S36" s="83"/>
      <c r="T36" s="83"/>
    </row>
    <row r="37" spans="1:20" x14ac:dyDescent="0.25">
      <c r="A37" s="83"/>
      <c r="B37" s="100"/>
      <c r="C37" s="83"/>
      <c r="D37" s="83"/>
      <c r="E37" s="83"/>
      <c r="F37" s="83"/>
      <c r="G37" s="83"/>
      <c r="H37" s="83"/>
      <c r="I37" s="83"/>
      <c r="J37" s="83"/>
      <c r="K37" s="83"/>
      <c r="L37" s="83"/>
      <c r="M37" s="83"/>
      <c r="N37" s="83"/>
      <c r="O37" s="83"/>
      <c r="P37" s="83"/>
      <c r="Q37" s="83"/>
      <c r="R37" s="83"/>
      <c r="S37" s="83"/>
      <c r="T37" s="83"/>
    </row>
    <row r="38" spans="1:20" x14ac:dyDescent="0.25">
      <c r="A38" s="83"/>
      <c r="B38" s="100"/>
      <c r="C38" s="83"/>
      <c r="D38" s="83"/>
      <c r="E38" s="83"/>
      <c r="F38" s="83"/>
      <c r="G38" s="83"/>
      <c r="H38" s="83"/>
      <c r="I38" s="83"/>
      <c r="J38" s="83"/>
      <c r="K38" s="83"/>
      <c r="L38" s="83"/>
      <c r="M38" s="83"/>
      <c r="N38" s="83"/>
      <c r="O38" s="83"/>
      <c r="P38" s="83"/>
      <c r="Q38" s="83"/>
      <c r="R38" s="83"/>
      <c r="S38" s="83"/>
      <c r="T38" s="83"/>
    </row>
    <row r="39" spans="1:20" x14ac:dyDescent="0.25">
      <c r="A39" s="83"/>
      <c r="B39" s="100"/>
      <c r="C39" s="83"/>
      <c r="D39" s="83"/>
      <c r="E39" s="83"/>
      <c r="F39" s="83"/>
      <c r="G39" s="83"/>
      <c r="H39" s="83"/>
      <c r="I39" s="83"/>
      <c r="J39" s="83"/>
      <c r="K39" s="83"/>
      <c r="L39" s="83"/>
      <c r="M39" s="83"/>
      <c r="N39" s="83"/>
      <c r="O39" s="83"/>
      <c r="P39" s="83"/>
      <c r="Q39" s="83"/>
      <c r="R39" s="83"/>
      <c r="S39" s="83"/>
      <c r="T39" s="83"/>
    </row>
    <row r="40" spans="1:20" x14ac:dyDescent="0.25">
      <c r="A40" s="83"/>
      <c r="B40" s="100"/>
      <c r="C40" s="83"/>
      <c r="D40" s="83"/>
      <c r="E40" s="83"/>
      <c r="F40" s="83"/>
      <c r="G40" s="83"/>
      <c r="H40" s="83"/>
      <c r="I40" s="83"/>
      <c r="J40" s="83"/>
      <c r="K40" s="83"/>
      <c r="L40" s="83"/>
      <c r="M40" s="83"/>
      <c r="N40" s="83"/>
      <c r="O40" s="83"/>
      <c r="P40" s="83"/>
      <c r="Q40" s="83"/>
      <c r="R40" s="83"/>
      <c r="S40" s="83"/>
      <c r="T40" s="83"/>
    </row>
    <row r="41" spans="1:20" x14ac:dyDescent="0.25">
      <c r="G41" s="3" t="s">
        <v>702</v>
      </c>
    </row>
    <row r="42" spans="1:20" x14ac:dyDescent="0.25">
      <c r="G42" s="3" t="s">
        <v>702</v>
      </c>
    </row>
    <row r="43" spans="1:20" x14ac:dyDescent="0.25">
      <c r="G43" s="3" t="s">
        <v>702</v>
      </c>
    </row>
    <row r="44" spans="1:20" x14ac:dyDescent="0.25">
      <c r="G44" s="3" t="s">
        <v>283</v>
      </c>
    </row>
    <row r="45" spans="1:20" x14ac:dyDescent="0.25">
      <c r="G45" s="3" t="s">
        <v>283</v>
      </c>
    </row>
    <row r="46" spans="1:20" x14ac:dyDescent="0.25">
      <c r="G46" s="3" t="s">
        <v>283</v>
      </c>
    </row>
    <row r="47" spans="1:20" x14ac:dyDescent="0.25">
      <c r="G47" s="3" t="s">
        <v>283</v>
      </c>
    </row>
    <row r="54" spans="7:7" x14ac:dyDescent="0.25">
      <c r="G54"/>
    </row>
    <row r="55" spans="7:7" x14ac:dyDescent="0.25">
      <c r="G55"/>
    </row>
    <row r="56" spans="7:7" x14ac:dyDescent="0.25">
      <c r="G56"/>
    </row>
    <row r="57" spans="7:7" x14ac:dyDescent="0.25">
      <c r="G57"/>
    </row>
    <row r="58" spans="7:7" x14ac:dyDescent="0.25">
      <c r="G58"/>
    </row>
    <row r="59" spans="7:7" x14ac:dyDescent="0.25">
      <c r="G59"/>
    </row>
    <row r="60" spans="7:7" x14ac:dyDescent="0.25">
      <c r="G60"/>
    </row>
    <row r="61" spans="7:7" x14ac:dyDescent="0.25">
      <c r="G61"/>
    </row>
    <row r="62" spans="7:7" x14ac:dyDescent="0.25">
      <c r="G62"/>
    </row>
    <row r="63" spans="7:7" x14ac:dyDescent="0.25">
      <c r="G63"/>
    </row>
    <row r="64" spans="7:7" x14ac:dyDescent="0.25">
      <c r="G64"/>
    </row>
    <row r="65" spans="7:7" x14ac:dyDescent="0.25">
      <c r="G65"/>
    </row>
    <row r="66" spans="7:7" x14ac:dyDescent="0.25">
      <c r="G66"/>
    </row>
    <row r="67" spans="7:7" x14ac:dyDescent="0.25">
      <c r="G67"/>
    </row>
    <row r="68" spans="7:7" x14ac:dyDescent="0.25">
      <c r="G68"/>
    </row>
    <row r="69" spans="7:7" x14ac:dyDescent="0.25">
      <c r="G69"/>
    </row>
    <row r="70" spans="7:7" x14ac:dyDescent="0.25">
      <c r="G70"/>
    </row>
    <row r="71" spans="7:7" x14ac:dyDescent="0.25">
      <c r="G71"/>
    </row>
    <row r="72" spans="7:7" x14ac:dyDescent="0.25">
      <c r="G72"/>
    </row>
    <row r="73" spans="7:7" x14ac:dyDescent="0.25">
      <c r="G73"/>
    </row>
    <row r="74" spans="7:7" x14ac:dyDescent="0.25">
      <c r="G74"/>
    </row>
    <row r="75" spans="7:7" x14ac:dyDescent="0.25">
      <c r="G75"/>
    </row>
    <row r="76" spans="7:7" x14ac:dyDescent="0.25">
      <c r="G76"/>
    </row>
    <row r="77" spans="7:7" x14ac:dyDescent="0.25">
      <c r="G77"/>
    </row>
    <row r="78" spans="7:7" x14ac:dyDescent="0.25">
      <c r="G78"/>
    </row>
    <row r="79" spans="7:7" x14ac:dyDescent="0.25">
      <c r="G79"/>
    </row>
    <row r="80" spans="7:7" x14ac:dyDescent="0.25">
      <c r="G80"/>
    </row>
    <row r="81" spans="7:7" x14ac:dyDescent="0.25">
      <c r="G81"/>
    </row>
    <row r="82" spans="7:7" x14ac:dyDescent="0.25">
      <c r="G82"/>
    </row>
    <row r="83" spans="7:7" x14ac:dyDescent="0.25">
      <c r="G83"/>
    </row>
    <row r="84" spans="7:7" x14ac:dyDescent="0.25">
      <c r="G84"/>
    </row>
    <row r="85" spans="7:7" x14ac:dyDescent="0.25">
      <c r="G85"/>
    </row>
    <row r="86" spans="7:7" x14ac:dyDescent="0.25">
      <c r="G86"/>
    </row>
    <row r="87" spans="7:7" x14ac:dyDescent="0.25">
      <c r="G87"/>
    </row>
    <row r="88" spans="7:7" x14ac:dyDescent="0.25">
      <c r="G88"/>
    </row>
    <row r="89" spans="7:7" x14ac:dyDescent="0.25">
      <c r="G89"/>
    </row>
    <row r="90" spans="7:7" x14ac:dyDescent="0.25">
      <c r="G90"/>
    </row>
    <row r="91" spans="7:7" x14ac:dyDescent="0.25">
      <c r="G91"/>
    </row>
    <row r="92" spans="7:7" x14ac:dyDescent="0.25">
      <c r="G92"/>
    </row>
    <row r="93" spans="7:7" x14ac:dyDescent="0.25">
      <c r="G93"/>
    </row>
    <row r="94" spans="7:7" x14ac:dyDescent="0.25">
      <c r="G94"/>
    </row>
    <row r="95" spans="7:7" x14ac:dyDescent="0.25">
      <c r="G95"/>
    </row>
    <row r="96" spans="7:7" x14ac:dyDescent="0.25">
      <c r="G96"/>
    </row>
    <row r="97" spans="7:7" x14ac:dyDescent="0.25">
      <c r="G97"/>
    </row>
    <row r="98" spans="7:7" x14ac:dyDescent="0.25">
      <c r="G98"/>
    </row>
    <row r="99" spans="7:7" x14ac:dyDescent="0.25">
      <c r="G99"/>
    </row>
    <row r="100" spans="7:7" x14ac:dyDescent="0.25">
      <c r="G100"/>
    </row>
    <row r="101" spans="7:7" x14ac:dyDescent="0.25">
      <c r="G101"/>
    </row>
    <row r="102" spans="7:7" x14ac:dyDescent="0.25">
      <c r="G102"/>
    </row>
    <row r="103" spans="7:7" x14ac:dyDescent="0.25">
      <c r="G103"/>
    </row>
    <row r="104" spans="7:7" x14ac:dyDescent="0.25">
      <c r="G104"/>
    </row>
    <row r="105" spans="7:7" x14ac:dyDescent="0.25">
      <c r="G105"/>
    </row>
    <row r="106" spans="7:7" x14ac:dyDescent="0.25">
      <c r="G106"/>
    </row>
    <row r="107" spans="7:7" x14ac:dyDescent="0.25">
      <c r="G107"/>
    </row>
    <row r="108" spans="7:7" x14ac:dyDescent="0.25">
      <c r="G108"/>
    </row>
  </sheetData>
  <mergeCells count="6">
    <mergeCell ref="C18:C19"/>
    <mergeCell ref="B5:B17"/>
    <mergeCell ref="B18:B19"/>
    <mergeCell ref="F2:H2"/>
    <mergeCell ref="C5:C8"/>
    <mergeCell ref="C9:C15"/>
  </mergeCells>
  <conditionalFormatting sqref="H5:H19">
    <cfRule type="dataBar" priority="208">
      <dataBar>
        <cfvo type="min"/>
        <cfvo type="max"/>
        <color rgb="FFFFB628"/>
      </dataBar>
      <extLst>
        <ext xmlns:x14="http://schemas.microsoft.com/office/spreadsheetml/2009/9/main" uri="{B025F937-C7B1-47D3-B67F-A62EFF666E3E}">
          <x14:id>{FDF033A1-E944-44B5-9867-427768D91F2F}</x14:id>
        </ext>
      </extLst>
    </cfRule>
  </conditionalFormatting>
  <conditionalFormatting sqref="H21">
    <cfRule type="dataBar" priority="1">
      <dataBar>
        <cfvo type="min"/>
        <cfvo type="max"/>
        <color rgb="FFFFB628"/>
      </dataBar>
      <extLst>
        <ext xmlns:x14="http://schemas.microsoft.com/office/spreadsheetml/2009/9/main" uri="{B025F937-C7B1-47D3-B67F-A62EFF666E3E}">
          <x14:id>{572A1C4A-581E-4556-96E7-A5FE7E4F81B7}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DF033A1-E944-44B5-9867-427768D91F2F}">
            <x14:dataBar minLength="0" maxLength="100" border="1" negativeBarBorderColorSameAsPositive="0">
              <x14:cfvo type="autoMin"/>
              <x14:cfvo type="autoMax"/>
              <x14:borderColor rgb="FFFFB628"/>
              <x14:negativeFillColor rgb="FFFF0000"/>
              <x14:negativeBorderColor rgb="FFFF0000"/>
              <x14:axisColor rgb="FF000000"/>
            </x14:dataBar>
          </x14:cfRule>
          <xm:sqref>H5:H19</xm:sqref>
        </x14:conditionalFormatting>
        <x14:conditionalFormatting xmlns:xm="http://schemas.microsoft.com/office/excel/2006/main">
          <x14:cfRule type="dataBar" id="{572A1C4A-581E-4556-96E7-A5FE7E4F81B7}">
            <x14:dataBar minLength="0" maxLength="100" border="1" negativeBarBorderColorSameAsPositive="0">
              <x14:cfvo type="autoMin"/>
              <x14:cfvo type="autoMax"/>
              <x14:borderColor rgb="FFFFB628"/>
              <x14:negativeFillColor rgb="FFFF0000"/>
              <x14:negativeBorderColor rgb="FFFF0000"/>
              <x14:axisColor rgb="FF000000"/>
            </x14:dataBar>
          </x14:cfRule>
          <xm:sqref>H21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E6E62-A396-48B4-A003-2A9DA6D7D252}">
  <dimension ref="A1:Y55"/>
  <sheetViews>
    <sheetView showGridLines="0" topLeftCell="B1" zoomScale="70" zoomScaleNormal="70" workbookViewId="0">
      <pane xSplit="18" ySplit="2" topLeftCell="T15" activePane="bottomRight" state="frozen"/>
      <selection activeCell="F7" sqref="F7"/>
      <selection pane="topRight" activeCell="F7" sqref="F7"/>
      <selection pane="bottomLeft" activeCell="F7" sqref="F7"/>
      <selection pane="bottomRight" activeCell="F7" sqref="F7"/>
    </sheetView>
  </sheetViews>
  <sheetFormatPr baseColWidth="10" defaultRowHeight="15.75" x14ac:dyDescent="0.25"/>
  <cols>
    <col min="1" max="1" width="3" customWidth="1"/>
    <col min="2" max="2" width="14.375" style="1" customWidth="1"/>
    <col min="3" max="3" width="24.625" customWidth="1"/>
    <col min="4" max="4" width="44.25" bestFit="1" customWidth="1"/>
    <col min="5" max="5" width="0.875" customWidth="1"/>
    <col min="6" max="6" width="11.625" style="3" customWidth="1"/>
    <col min="7" max="7" width="11.375" style="3" bestFit="1" customWidth="1"/>
    <col min="8" max="8" width="8.5" bestFit="1" customWidth="1"/>
    <col min="9" max="9" width="1.375" customWidth="1"/>
    <col min="10" max="10" width="5.25" customWidth="1"/>
    <col min="20" max="20" width="11" customWidth="1"/>
  </cols>
  <sheetData>
    <row r="1" spans="1:25" ht="10.5" customHeight="1" x14ac:dyDescent="0.25">
      <c r="A1" s="83"/>
      <c r="B1" s="100"/>
      <c r="C1" s="83"/>
      <c r="D1" s="83"/>
      <c r="E1" s="83"/>
      <c r="F1" s="96"/>
      <c r="G1" s="96"/>
      <c r="H1" s="83"/>
      <c r="I1" s="83"/>
      <c r="J1" s="83"/>
      <c r="K1" s="83"/>
      <c r="L1" s="83"/>
      <c r="M1" s="83"/>
      <c r="N1" s="83"/>
      <c r="O1" s="83"/>
      <c r="P1" s="83"/>
      <c r="Q1" s="83"/>
      <c r="R1" s="83"/>
      <c r="S1" s="83"/>
      <c r="T1" s="83"/>
      <c r="U1" s="83"/>
    </row>
    <row r="2" spans="1:25" ht="38.25" customHeight="1" x14ac:dyDescent="0.25">
      <c r="A2" s="83"/>
      <c r="B2" s="106" t="s">
        <v>858</v>
      </c>
      <c r="C2" s="106" t="s">
        <v>516</v>
      </c>
      <c r="D2" s="106" t="s">
        <v>857</v>
      </c>
      <c r="E2" s="85"/>
      <c r="F2" s="398" t="s">
        <v>893</v>
      </c>
      <c r="G2" s="398"/>
      <c r="H2" s="398"/>
      <c r="I2" s="83"/>
      <c r="J2" s="83"/>
      <c r="K2" s="83"/>
      <c r="L2" s="83"/>
      <c r="M2" s="83"/>
      <c r="N2" s="83"/>
      <c r="O2" s="83"/>
      <c r="P2" s="83"/>
      <c r="Q2" s="83"/>
      <c r="R2" s="83"/>
      <c r="S2" s="83"/>
      <c r="T2" s="83"/>
      <c r="U2" s="83"/>
    </row>
    <row r="3" spans="1:25" ht="23.25" x14ac:dyDescent="0.25">
      <c r="A3" s="83"/>
      <c r="B3" s="100"/>
      <c r="C3" s="97"/>
      <c r="D3" s="97"/>
      <c r="E3" s="97"/>
      <c r="F3" s="98" t="s">
        <v>871</v>
      </c>
      <c r="G3" s="98" t="s">
        <v>900</v>
      </c>
      <c r="H3" s="99"/>
      <c r="I3" s="99"/>
      <c r="J3" s="99"/>
      <c r="K3" s="83"/>
      <c r="L3" s="83"/>
      <c r="M3" s="83"/>
      <c r="N3" s="83"/>
      <c r="O3" s="83"/>
      <c r="P3" s="83"/>
      <c r="Q3" s="83"/>
      <c r="R3" s="83"/>
      <c r="S3" s="83"/>
      <c r="T3" s="83"/>
      <c r="U3" s="83"/>
    </row>
    <row r="4" spans="1:25" ht="5.25" customHeight="1" thickBot="1" x14ac:dyDescent="0.3">
      <c r="A4" s="83"/>
      <c r="B4" s="100"/>
      <c r="C4" s="83"/>
      <c r="D4" s="83"/>
      <c r="E4" s="83"/>
      <c r="F4" s="96"/>
      <c r="G4" s="96"/>
      <c r="H4" s="83"/>
      <c r="I4" s="83"/>
      <c r="J4" s="83"/>
      <c r="K4" s="83"/>
      <c r="L4" s="83"/>
      <c r="M4" s="83"/>
      <c r="N4" s="83"/>
      <c r="O4" s="83"/>
      <c r="P4" s="83"/>
      <c r="Q4" s="83"/>
      <c r="R4" s="83"/>
      <c r="S4" s="83"/>
      <c r="T4" s="83"/>
      <c r="U4" s="83"/>
    </row>
    <row r="5" spans="1:25" s="94" customFormat="1" x14ac:dyDescent="0.25">
      <c r="A5" s="99"/>
      <c r="B5" s="422" t="s">
        <v>884</v>
      </c>
      <c r="C5" s="420" t="s">
        <v>876</v>
      </c>
      <c r="D5" s="102" t="s">
        <v>587</v>
      </c>
      <c r="E5" s="99"/>
      <c r="F5" s="107">
        <f>COUNTIFS(Operacional!H:H,"SUST",Operacional!C:C,'Zoom SUST'!D5)</f>
        <v>2</v>
      </c>
      <c r="G5" s="127">
        <f>SUMIFS(Operacional!F:F,Operacional!H:H,"SUST",Operacional!C:C,'Zoom SUST'!D5)</f>
        <v>2</v>
      </c>
      <c r="H5" s="176">
        <f>+G5/F5</f>
        <v>1</v>
      </c>
      <c r="I5" s="99"/>
      <c r="J5" s="99"/>
      <c r="K5" s="99"/>
      <c r="L5" s="99"/>
      <c r="M5" s="99"/>
      <c r="N5" s="99"/>
      <c r="O5" s="99"/>
      <c r="P5" s="99"/>
      <c r="Q5" s="99"/>
      <c r="R5" s="99"/>
      <c r="S5" s="99"/>
      <c r="T5" s="99"/>
      <c r="U5" s="99"/>
    </row>
    <row r="6" spans="1:25" s="94" customFormat="1" x14ac:dyDescent="0.25">
      <c r="A6" s="99"/>
      <c r="B6" s="423"/>
      <c r="C6" s="413"/>
      <c r="D6" s="104" t="s">
        <v>592</v>
      </c>
      <c r="E6" s="99"/>
      <c r="F6" s="109">
        <f>COUNTIFS(Operacional!H:H,"SUST",Operacional!C:C,'Zoom SUST'!D6)</f>
        <v>1</v>
      </c>
      <c r="G6" s="129">
        <f>SUMIFS(Operacional!F:F,Operacional!H:H,"SUST",Operacional!C:C,'Zoom SUST'!D6)</f>
        <v>0</v>
      </c>
      <c r="H6" s="177">
        <f t="shared" ref="H6:H33" si="0">+G6/F6</f>
        <v>0</v>
      </c>
      <c r="I6" s="99"/>
      <c r="J6" s="99"/>
      <c r="K6" s="99"/>
      <c r="L6" s="99"/>
      <c r="M6" s="99"/>
      <c r="N6" s="99"/>
      <c r="O6" s="99"/>
      <c r="P6" s="99"/>
      <c r="Q6" s="99"/>
      <c r="R6" s="99"/>
      <c r="S6" s="99"/>
      <c r="T6" s="99"/>
      <c r="U6" s="99"/>
    </row>
    <row r="7" spans="1:25" s="94" customFormat="1" x14ac:dyDescent="0.25">
      <c r="A7" s="99"/>
      <c r="B7" s="423"/>
      <c r="C7" s="413"/>
      <c r="D7" s="104" t="s">
        <v>593</v>
      </c>
      <c r="E7" s="99"/>
      <c r="F7" s="109">
        <f>COUNTIFS(Operacional!H:H,"SUST",Operacional!C:C,'Zoom SUST'!D7)</f>
        <v>1</v>
      </c>
      <c r="G7" s="129">
        <f>SUMIFS(Operacional!F:F,Operacional!H:H,"SUST",Operacional!C:C,'Zoom SUST'!D7)</f>
        <v>1</v>
      </c>
      <c r="H7" s="177">
        <f t="shared" si="0"/>
        <v>1</v>
      </c>
      <c r="I7" s="99"/>
      <c r="J7" s="99"/>
      <c r="K7" s="99"/>
      <c r="L7" s="99"/>
      <c r="M7" s="99"/>
      <c r="N7" s="99"/>
      <c r="O7" s="99"/>
      <c r="P7" s="99"/>
      <c r="Q7" s="99"/>
      <c r="R7" s="99"/>
      <c r="S7" s="99"/>
      <c r="T7" s="99"/>
      <c r="U7" s="99"/>
      <c r="V7" s="187" t="s">
        <v>890</v>
      </c>
      <c r="W7" s="188">
        <f t="shared" ref="W7:W10" si="1">+Y7/X7</f>
        <v>0.5</v>
      </c>
      <c r="X7" s="187">
        <f>+F33+F34</f>
        <v>4</v>
      </c>
      <c r="Y7" s="187">
        <f>+G33+G34</f>
        <v>2</v>
      </c>
    </row>
    <row r="8" spans="1:25" s="94" customFormat="1" x14ac:dyDescent="0.25">
      <c r="A8" s="99"/>
      <c r="B8" s="423"/>
      <c r="C8" s="125" t="s">
        <v>877</v>
      </c>
      <c r="D8" s="104" t="s">
        <v>25</v>
      </c>
      <c r="E8" s="99"/>
      <c r="F8" s="109">
        <f>COUNTIFS(Operacional!H:H,"SUST",Operacional!C:C,'Zoom SUST'!D8)</f>
        <v>1</v>
      </c>
      <c r="G8" s="175">
        <f>SUMIFS(Operacional!F:F,Operacional!H:H,"SUST",Operacional!C:C,'Zoom SUST'!D8)</f>
        <v>0</v>
      </c>
      <c r="H8" s="177">
        <f t="shared" si="0"/>
        <v>0</v>
      </c>
      <c r="I8" s="99"/>
      <c r="J8" s="99"/>
      <c r="K8" s="99"/>
      <c r="L8" s="99"/>
      <c r="M8" s="99"/>
      <c r="N8" s="99"/>
      <c r="O8" s="99"/>
      <c r="P8" s="99"/>
      <c r="Q8" s="99"/>
      <c r="R8" s="99"/>
      <c r="S8" s="99"/>
      <c r="T8" s="99"/>
      <c r="U8" s="99"/>
      <c r="V8" s="187" t="s">
        <v>889</v>
      </c>
      <c r="W8" s="188">
        <f t="shared" si="1"/>
        <v>0</v>
      </c>
      <c r="X8" s="187">
        <f>SUM(F24:F32)</f>
        <v>17</v>
      </c>
      <c r="Y8" s="187">
        <f>SUM(G24:G32)</f>
        <v>0</v>
      </c>
    </row>
    <row r="9" spans="1:25" s="94" customFormat="1" x14ac:dyDescent="0.25">
      <c r="A9" s="99"/>
      <c r="B9" s="423"/>
      <c r="C9" s="424" t="s">
        <v>894</v>
      </c>
      <c r="D9" s="104" t="s">
        <v>636</v>
      </c>
      <c r="E9" s="99"/>
      <c r="F9" s="109">
        <f>COUNTIFS(Operacional!H:H,"SUST",Operacional!C:C,'Zoom SUST'!D9)</f>
        <v>1</v>
      </c>
      <c r="G9" s="175">
        <f>SUMIFS(Operacional!F:F,Operacional!H:H,"SUST",Operacional!C:C,'Zoom SUST'!D9)</f>
        <v>0</v>
      </c>
      <c r="H9" s="177">
        <f t="shared" si="0"/>
        <v>0</v>
      </c>
      <c r="I9" s="99"/>
      <c r="J9" s="99"/>
      <c r="K9" s="99"/>
      <c r="L9" s="99"/>
      <c r="M9" s="99"/>
      <c r="N9" s="99"/>
      <c r="O9" s="99"/>
      <c r="P9" s="99"/>
      <c r="Q9" s="99"/>
      <c r="R9" s="99"/>
      <c r="S9" s="99"/>
      <c r="T9" s="99"/>
      <c r="U9" s="99"/>
      <c r="V9" s="187" t="s">
        <v>888</v>
      </c>
      <c r="W9" s="188">
        <f t="shared" si="1"/>
        <v>0.25</v>
      </c>
      <c r="X9" s="187">
        <f>+SUM(F5:F23)</f>
        <v>36</v>
      </c>
      <c r="Y9" s="187">
        <f>+SUM(G5:G23)</f>
        <v>9</v>
      </c>
    </row>
    <row r="10" spans="1:25" s="94" customFormat="1" x14ac:dyDescent="0.25">
      <c r="A10" s="99"/>
      <c r="B10" s="423"/>
      <c r="C10" s="425"/>
      <c r="D10" s="104" t="s">
        <v>41</v>
      </c>
      <c r="E10" s="99"/>
      <c r="F10" s="109">
        <f>COUNTIFS(Operacional!H:H,"SUST",Operacional!C:C,'Zoom SUST'!D10)</f>
        <v>1</v>
      </c>
      <c r="G10" s="175">
        <f>SUMIFS(Operacional!F:F,Operacional!H:H,"SUST",Operacional!C:C,'Zoom SUST'!D10)</f>
        <v>0</v>
      </c>
      <c r="H10" s="177">
        <f t="shared" si="0"/>
        <v>0</v>
      </c>
      <c r="I10" s="99"/>
      <c r="J10" s="99"/>
      <c r="K10" s="99"/>
      <c r="L10" s="99"/>
      <c r="M10" s="99"/>
      <c r="N10" s="99"/>
      <c r="O10" s="99"/>
      <c r="P10" s="99"/>
      <c r="Q10" s="99"/>
      <c r="R10" s="99"/>
      <c r="S10" s="99"/>
      <c r="T10" s="99"/>
      <c r="U10" s="99"/>
      <c r="V10" s="187" t="s">
        <v>891</v>
      </c>
      <c r="W10" s="188">
        <f t="shared" si="1"/>
        <v>0.19298245614035087</v>
      </c>
      <c r="X10" s="187">
        <f>SUM(X7:X9)</f>
        <v>57</v>
      </c>
      <c r="Y10" s="187">
        <f>SUM(Y7:Y9)</f>
        <v>11</v>
      </c>
    </row>
    <row r="11" spans="1:25" s="94" customFormat="1" x14ac:dyDescent="0.25">
      <c r="A11" s="99"/>
      <c r="B11" s="423"/>
      <c r="C11" s="425"/>
      <c r="D11" s="104" t="s">
        <v>47</v>
      </c>
      <c r="E11" s="99"/>
      <c r="F11" s="109">
        <f>COUNTIFS(Operacional!H:H,"SUST",Operacional!C:C,'Zoom SUST'!D11)</f>
        <v>4</v>
      </c>
      <c r="G11" s="129">
        <f>SUMIFS(Operacional!F:F,Operacional!H:H,"SUST",Operacional!C:C,'Zoom SUST'!D11)</f>
        <v>2</v>
      </c>
      <c r="H11" s="177">
        <f t="shared" si="0"/>
        <v>0.5</v>
      </c>
      <c r="I11" s="99"/>
      <c r="J11" s="99"/>
      <c r="K11" s="99"/>
      <c r="L11" s="99"/>
      <c r="M11" s="99"/>
      <c r="N11" s="99"/>
      <c r="O11" s="99"/>
      <c r="P11" s="99"/>
      <c r="Q11" s="99"/>
      <c r="R11" s="99"/>
      <c r="S11" s="99"/>
      <c r="T11" s="99"/>
      <c r="U11" s="99"/>
    </row>
    <row r="12" spans="1:25" s="94" customFormat="1" x14ac:dyDescent="0.25">
      <c r="A12" s="99"/>
      <c r="B12" s="423"/>
      <c r="C12" s="425"/>
      <c r="D12" s="104" t="s">
        <v>637</v>
      </c>
      <c r="E12" s="99"/>
      <c r="F12" s="109">
        <f>COUNTIFS(Operacional!H:H,"SUST",Operacional!C:C,'Zoom SUST'!D12)</f>
        <v>1</v>
      </c>
      <c r="G12" s="129">
        <f>SUMIFS(Operacional!F:F,Operacional!H:H,"SUST",Operacional!C:C,'Zoom SUST'!D12)</f>
        <v>0</v>
      </c>
      <c r="H12" s="177">
        <f t="shared" si="0"/>
        <v>0</v>
      </c>
      <c r="I12" s="99"/>
      <c r="J12" s="99"/>
      <c r="K12" s="99"/>
      <c r="L12" s="99"/>
      <c r="M12" s="99"/>
      <c r="N12" s="99"/>
      <c r="O12" s="99"/>
      <c r="P12" s="99"/>
      <c r="Q12" s="99"/>
      <c r="R12" s="99"/>
      <c r="S12" s="99"/>
      <c r="T12" s="99"/>
      <c r="U12" s="99"/>
    </row>
    <row r="13" spans="1:25" s="94" customFormat="1" x14ac:dyDescent="0.25">
      <c r="A13" s="99"/>
      <c r="B13" s="423"/>
      <c r="C13" s="425"/>
      <c r="D13" s="104" t="s">
        <v>45</v>
      </c>
      <c r="E13" s="99"/>
      <c r="F13" s="109">
        <f>COUNTIFS(Operacional!H:H,"SUST",Operacional!C:C,'Zoom SUST'!D13)</f>
        <v>1</v>
      </c>
      <c r="G13" s="129">
        <f>SUMIFS(Operacional!F:F,Operacional!H:H,"SUST",Operacional!C:C,'Zoom SUST'!D13)</f>
        <v>1</v>
      </c>
      <c r="H13" s="177">
        <f t="shared" si="0"/>
        <v>1</v>
      </c>
      <c r="I13" s="99"/>
      <c r="J13" s="99"/>
      <c r="K13" s="99"/>
      <c r="L13" s="99"/>
      <c r="M13" s="99"/>
      <c r="N13" s="99"/>
      <c r="O13" s="99"/>
      <c r="P13" s="99"/>
      <c r="Q13" s="99"/>
      <c r="R13" s="99"/>
      <c r="S13" s="99"/>
      <c r="T13" s="99"/>
      <c r="U13" s="99"/>
    </row>
    <row r="14" spans="1:25" s="94" customFormat="1" x14ac:dyDescent="0.25">
      <c r="A14" s="99"/>
      <c r="B14" s="423"/>
      <c r="C14" s="425"/>
      <c r="D14" s="104" t="s">
        <v>43</v>
      </c>
      <c r="E14" s="99"/>
      <c r="F14" s="109">
        <f>COUNTIFS(Operacional!H:H,"SUST",Operacional!C:C,'Zoom SUST'!D14)</f>
        <v>1</v>
      </c>
      <c r="G14" s="129">
        <f>SUMIFS(Operacional!F:F,Operacional!H:H,"SUST",Operacional!C:C,'Zoom SUST'!D14)</f>
        <v>0</v>
      </c>
      <c r="H14" s="177">
        <f t="shared" si="0"/>
        <v>0</v>
      </c>
      <c r="I14" s="99"/>
      <c r="J14" s="99"/>
      <c r="K14" s="99"/>
      <c r="L14" s="99"/>
      <c r="M14" s="99"/>
      <c r="N14" s="99"/>
      <c r="O14" s="99"/>
      <c r="P14" s="99"/>
      <c r="Q14" s="99"/>
      <c r="R14" s="99"/>
      <c r="S14" s="99"/>
      <c r="T14" s="99"/>
      <c r="U14" s="99"/>
    </row>
    <row r="15" spans="1:25" s="94" customFormat="1" x14ac:dyDescent="0.25">
      <c r="A15" s="99"/>
      <c r="B15" s="423"/>
      <c r="C15" s="425"/>
      <c r="D15" s="104" t="s">
        <v>44</v>
      </c>
      <c r="E15" s="99"/>
      <c r="F15" s="109">
        <f>COUNTIFS(Operacional!H:H,"SUST",Operacional!C:C,'Zoom SUST'!D15)</f>
        <v>1</v>
      </c>
      <c r="G15" s="129">
        <f>SUMIFS(Operacional!F:F,Operacional!H:H,"SUST",Operacional!C:C,'Zoom SUST'!D15)</f>
        <v>0</v>
      </c>
      <c r="H15" s="177">
        <f t="shared" si="0"/>
        <v>0</v>
      </c>
      <c r="I15" s="99"/>
      <c r="J15" s="99"/>
      <c r="K15" s="99"/>
      <c r="L15" s="99"/>
      <c r="M15" s="99"/>
      <c r="N15" s="99"/>
      <c r="O15" s="99"/>
      <c r="P15" s="99"/>
      <c r="Q15" s="99"/>
      <c r="R15" s="99"/>
      <c r="S15" s="99"/>
      <c r="T15" s="99"/>
      <c r="U15" s="99"/>
    </row>
    <row r="16" spans="1:25" s="94" customFormat="1" x14ac:dyDescent="0.25">
      <c r="A16" s="99"/>
      <c r="B16" s="423"/>
      <c r="C16" s="425"/>
      <c r="D16" s="104" t="s">
        <v>42</v>
      </c>
      <c r="E16" s="99"/>
      <c r="F16" s="109">
        <f>COUNTIFS(Operacional!H:H,"SUST",Operacional!C:C,'Zoom SUST'!D16)</f>
        <v>1</v>
      </c>
      <c r="G16" s="129">
        <f>SUMIFS(Operacional!F:F,Operacional!H:H,"SUST",Operacional!C:C,'Zoom SUST'!D16)</f>
        <v>0</v>
      </c>
      <c r="H16" s="177">
        <f t="shared" si="0"/>
        <v>0</v>
      </c>
      <c r="I16" s="99"/>
      <c r="J16" s="99"/>
      <c r="K16" s="99"/>
      <c r="L16" s="99"/>
      <c r="M16" s="99"/>
      <c r="N16" s="99"/>
      <c r="O16" s="99"/>
      <c r="P16" s="99"/>
      <c r="Q16" s="99"/>
      <c r="R16" s="99"/>
      <c r="S16" s="99"/>
      <c r="T16" s="99"/>
      <c r="U16" s="99"/>
    </row>
    <row r="17" spans="1:21" s="94" customFormat="1" x14ac:dyDescent="0.25">
      <c r="A17" s="99"/>
      <c r="B17" s="423"/>
      <c r="C17" s="425"/>
      <c r="D17" s="104" t="s">
        <v>49</v>
      </c>
      <c r="E17" s="99"/>
      <c r="F17" s="109">
        <f>COUNTIFS(Operacional!H:H,"SUST",Operacional!C:C,'Zoom SUST'!D17)</f>
        <v>3</v>
      </c>
      <c r="G17" s="129">
        <f>SUMIFS(Operacional!F:F,Operacional!H:H,"SUST",Operacional!C:C,'Zoom SUST'!D17)</f>
        <v>0</v>
      </c>
      <c r="H17" s="177">
        <f t="shared" si="0"/>
        <v>0</v>
      </c>
      <c r="I17" s="99"/>
      <c r="J17" s="99"/>
      <c r="K17" s="99"/>
      <c r="L17" s="99"/>
      <c r="M17" s="99"/>
      <c r="N17" s="99"/>
      <c r="O17" s="99"/>
      <c r="P17" s="99"/>
      <c r="Q17" s="99"/>
      <c r="R17" s="99"/>
      <c r="S17" s="99"/>
      <c r="T17" s="99"/>
      <c r="U17" s="99"/>
    </row>
    <row r="18" spans="1:21" s="94" customFormat="1" x14ac:dyDescent="0.25">
      <c r="A18" s="99"/>
      <c r="B18" s="423"/>
      <c r="C18" s="425"/>
      <c r="D18" s="104" t="s">
        <v>46</v>
      </c>
      <c r="E18" s="99"/>
      <c r="F18" s="109">
        <f>COUNTIFS(Operacional!H:H,"SUST",Operacional!C:C,'Zoom SUST'!D18)</f>
        <v>3</v>
      </c>
      <c r="G18" s="129">
        <f>SUMIFS(Operacional!F:F,Operacional!H:H,"SUST",Operacional!C:C,'Zoom SUST'!D18)</f>
        <v>1</v>
      </c>
      <c r="H18" s="177">
        <f t="shared" si="0"/>
        <v>0.33333333333333331</v>
      </c>
      <c r="I18" s="99"/>
      <c r="J18" s="99"/>
      <c r="K18" s="99"/>
      <c r="L18" s="99"/>
      <c r="M18" s="99"/>
      <c r="N18" s="99"/>
      <c r="O18" s="99"/>
      <c r="P18" s="99"/>
      <c r="Q18" s="99"/>
      <c r="R18" s="99"/>
      <c r="S18" s="99"/>
      <c r="T18" s="99"/>
      <c r="U18" s="99"/>
    </row>
    <row r="19" spans="1:21" s="94" customFormat="1" x14ac:dyDescent="0.25">
      <c r="A19" s="99"/>
      <c r="B19" s="423"/>
      <c r="C19" s="426"/>
      <c r="D19" s="104" t="s">
        <v>638</v>
      </c>
      <c r="E19" s="99"/>
      <c r="F19" s="109">
        <f>COUNTIFS(Operacional!H:H,"SUST",Operacional!C:C,'Zoom SUST'!D19)</f>
        <v>3</v>
      </c>
      <c r="G19" s="129">
        <f>SUMIFS(Operacional!F:F,Operacional!H:H,"SUST",Operacional!C:C,'Zoom SUST'!D19)</f>
        <v>1</v>
      </c>
      <c r="H19" s="177">
        <f t="shared" si="0"/>
        <v>0.33333333333333331</v>
      </c>
      <c r="I19" s="99"/>
      <c r="J19" s="99"/>
      <c r="K19" s="99"/>
      <c r="L19" s="99"/>
      <c r="M19" s="99"/>
      <c r="N19" s="99"/>
      <c r="O19" s="99"/>
      <c r="P19" s="99"/>
      <c r="Q19" s="99"/>
      <c r="R19" s="99"/>
      <c r="S19" s="99"/>
      <c r="T19" s="99"/>
      <c r="U19" s="99"/>
    </row>
    <row r="20" spans="1:21" s="94" customFormat="1" x14ac:dyDescent="0.25">
      <c r="A20" s="99"/>
      <c r="B20" s="423"/>
      <c r="C20" s="413" t="s">
        <v>878</v>
      </c>
      <c r="D20" s="104" t="s">
        <v>654</v>
      </c>
      <c r="E20" s="99"/>
      <c r="F20" s="109">
        <f>COUNTIFS(Operacional!H:H,"SUST",Operacional!C:C,'Zoom SUST'!D20)</f>
        <v>4</v>
      </c>
      <c r="G20" s="129">
        <f>SUMIFS(Operacional!F:F,Operacional!H:H,"SUST",Operacional!C:C,'Zoom SUST'!D20)</f>
        <v>1</v>
      </c>
      <c r="H20" s="177">
        <f t="shared" si="0"/>
        <v>0.25</v>
      </c>
      <c r="I20" s="99"/>
      <c r="J20" s="99"/>
      <c r="K20" s="99"/>
      <c r="L20" s="99"/>
      <c r="M20" s="99"/>
      <c r="N20" s="99"/>
      <c r="O20" s="99"/>
      <c r="P20" s="99"/>
      <c r="Q20" s="99"/>
      <c r="R20" s="99"/>
      <c r="S20" s="99"/>
      <c r="T20" s="99"/>
      <c r="U20" s="99"/>
    </row>
    <row r="21" spans="1:21" s="94" customFormat="1" x14ac:dyDescent="0.25">
      <c r="A21" s="99"/>
      <c r="B21" s="423"/>
      <c r="C21" s="413"/>
      <c r="D21" s="104" t="s">
        <v>249</v>
      </c>
      <c r="E21" s="99"/>
      <c r="F21" s="109">
        <f>COUNTIFS(Operacional!H:H,"SUST",Operacional!C:C,'Zoom SUST'!D21)</f>
        <v>2</v>
      </c>
      <c r="G21" s="129">
        <f>SUMIFS(Operacional!F:F,Operacional!H:H,"SUST",Operacional!C:C,'Zoom SUST'!D21)</f>
        <v>0</v>
      </c>
      <c r="H21" s="177">
        <f t="shared" si="0"/>
        <v>0</v>
      </c>
      <c r="I21" s="99"/>
      <c r="J21" s="99"/>
      <c r="K21" s="99"/>
      <c r="L21" s="99"/>
      <c r="M21" s="99"/>
      <c r="N21" s="99"/>
      <c r="O21" s="99"/>
      <c r="P21" s="99"/>
      <c r="Q21" s="99"/>
      <c r="R21" s="99"/>
      <c r="S21" s="99"/>
      <c r="T21" s="99"/>
      <c r="U21" s="99"/>
    </row>
    <row r="22" spans="1:21" s="94" customFormat="1" x14ac:dyDescent="0.25">
      <c r="A22" s="99"/>
      <c r="B22" s="423"/>
      <c r="C22" s="413"/>
      <c r="D22" s="104" t="s">
        <v>253</v>
      </c>
      <c r="E22" s="99"/>
      <c r="F22" s="109">
        <f>COUNTIFS(Operacional!H:H,"SUST",Operacional!C:C,'Zoom SUST'!D22)</f>
        <v>3</v>
      </c>
      <c r="G22" s="129">
        <f>SUMIFS(Operacional!F:F,Operacional!H:H,"SUST",Operacional!C:C,'Zoom SUST'!D22)</f>
        <v>0</v>
      </c>
      <c r="H22" s="177">
        <f t="shared" si="0"/>
        <v>0</v>
      </c>
      <c r="I22" s="99"/>
      <c r="J22" s="99"/>
      <c r="K22" s="99"/>
      <c r="L22" s="99"/>
      <c r="M22" s="99"/>
      <c r="N22" s="99"/>
      <c r="O22" s="99"/>
      <c r="P22" s="99"/>
      <c r="Q22" s="99"/>
      <c r="R22" s="99"/>
      <c r="S22" s="99"/>
      <c r="T22" s="99"/>
      <c r="U22" s="99"/>
    </row>
    <row r="23" spans="1:21" s="94" customFormat="1" x14ac:dyDescent="0.25">
      <c r="A23" s="99"/>
      <c r="B23" s="423"/>
      <c r="C23" s="413"/>
      <c r="D23" s="104" t="s">
        <v>509</v>
      </c>
      <c r="E23" s="99"/>
      <c r="F23" s="109">
        <f>COUNTIFS(Operacional!H:H,"SUST",Operacional!C:C,'Zoom SUST'!D23)</f>
        <v>2</v>
      </c>
      <c r="G23" s="129">
        <f>SUMIFS(Operacional!F:F,Operacional!H:H,"SUST",Operacional!C:C,'Zoom SUST'!D23)</f>
        <v>0</v>
      </c>
      <c r="H23" s="177">
        <f t="shared" si="0"/>
        <v>0</v>
      </c>
      <c r="I23" s="99"/>
      <c r="J23" s="99"/>
      <c r="K23" s="99"/>
      <c r="L23" s="99"/>
      <c r="M23" s="99"/>
      <c r="N23" s="99"/>
      <c r="O23" s="99"/>
      <c r="P23" s="99"/>
      <c r="Q23" s="99"/>
      <c r="R23" s="99"/>
      <c r="S23" s="99"/>
      <c r="T23" s="99"/>
      <c r="U23" s="99"/>
    </row>
    <row r="24" spans="1:21" s="94" customFormat="1" x14ac:dyDescent="0.25">
      <c r="A24" s="99"/>
      <c r="B24" s="423" t="s">
        <v>885</v>
      </c>
      <c r="C24" s="125" t="s">
        <v>879</v>
      </c>
      <c r="D24" s="104" t="s">
        <v>279</v>
      </c>
      <c r="E24" s="99"/>
      <c r="F24" s="109">
        <f>COUNTIFS(Estandarización!H:H,"SUST",Estandarización!C:C,'Zoom SUST'!D24)</f>
        <v>1</v>
      </c>
      <c r="G24" s="129">
        <f>SUMIFS(Estandarización!F:F,Estandarización!H:H,"SUST",Estandarización!C:C,'Zoom SUST'!D24)</f>
        <v>0</v>
      </c>
      <c r="H24" s="177">
        <f t="shared" si="0"/>
        <v>0</v>
      </c>
      <c r="I24" s="99"/>
      <c r="J24" s="99"/>
      <c r="K24" s="99"/>
      <c r="L24" s="99"/>
      <c r="M24" s="99"/>
      <c r="N24" s="99"/>
      <c r="O24" s="99"/>
      <c r="P24" s="99"/>
      <c r="Q24" s="99"/>
      <c r="R24" s="99"/>
      <c r="S24" s="99"/>
      <c r="T24" s="99"/>
      <c r="U24" s="99"/>
    </row>
    <row r="25" spans="1:21" s="94" customFormat="1" x14ac:dyDescent="0.25">
      <c r="A25" s="99"/>
      <c r="B25" s="423"/>
      <c r="C25" s="424" t="s">
        <v>187</v>
      </c>
      <c r="D25" s="104" t="s">
        <v>703</v>
      </c>
      <c r="E25" s="99"/>
      <c r="F25" s="109">
        <f>COUNTIFS(Estandarización!H:H,"SUST",Estandarización!C:C,'Zoom SUST'!D25)</f>
        <v>6</v>
      </c>
      <c r="G25" s="129">
        <f>SUMIFS(Estandarización!F:F,Estandarización!H:H,"SUST",Estandarización!C:C,'Zoom SUST'!D25)</f>
        <v>0</v>
      </c>
      <c r="H25" s="177">
        <f t="shared" si="0"/>
        <v>0</v>
      </c>
      <c r="I25" s="99"/>
      <c r="J25" s="99"/>
      <c r="K25" s="99"/>
      <c r="L25" s="99"/>
      <c r="M25" s="99"/>
      <c r="N25" s="99"/>
      <c r="O25" s="99"/>
      <c r="P25" s="99"/>
      <c r="Q25" s="99"/>
      <c r="R25" s="99"/>
      <c r="S25" s="99"/>
      <c r="T25" s="99"/>
      <c r="U25" s="99"/>
    </row>
    <row r="26" spans="1:21" s="94" customFormat="1" x14ac:dyDescent="0.25">
      <c r="A26" s="99"/>
      <c r="B26" s="423"/>
      <c r="C26" s="425"/>
      <c r="D26" s="104" t="s">
        <v>702</v>
      </c>
      <c r="E26" s="99"/>
      <c r="F26" s="109">
        <f>COUNTIFS(Estandarización!H:H,"SUST",Estandarización!C:C,'Zoom SUST'!D26)</f>
        <v>1</v>
      </c>
      <c r="G26" s="129">
        <f>SUMIFS(Estandarización!F:F,Estandarización!H:H,"SUST",Estandarización!C:C,'Zoom SUST'!D26)</f>
        <v>0</v>
      </c>
      <c r="H26" s="177">
        <f t="shared" ref="H26" si="2">+G26/F26</f>
        <v>0</v>
      </c>
      <c r="I26" s="99"/>
      <c r="J26" s="99"/>
      <c r="K26" s="99"/>
      <c r="L26" s="99"/>
      <c r="M26" s="99"/>
      <c r="N26" s="99"/>
      <c r="O26" s="99"/>
      <c r="P26" s="99"/>
      <c r="Q26" s="99"/>
      <c r="R26" s="99"/>
      <c r="S26" s="99"/>
      <c r="T26" s="99"/>
      <c r="U26" s="99"/>
    </row>
    <row r="27" spans="1:21" s="94" customFormat="1" x14ac:dyDescent="0.25">
      <c r="A27" s="99"/>
      <c r="B27" s="423"/>
      <c r="C27" s="426"/>
      <c r="D27" s="104" t="s">
        <v>272</v>
      </c>
      <c r="E27" s="99"/>
      <c r="F27" s="109">
        <f>COUNTIFS(Estandarización!H:H,"SUST",Estandarización!C:C,'Zoom SUST'!D27)</f>
        <v>1</v>
      </c>
      <c r="G27" s="129">
        <f>SUMIFS(Estandarización!F:F,Estandarización!H:H,"SUST",Estandarización!C:C,'Zoom SUST'!D27)</f>
        <v>0</v>
      </c>
      <c r="H27" s="177">
        <f t="shared" si="0"/>
        <v>0</v>
      </c>
      <c r="I27" s="99"/>
      <c r="J27" s="99"/>
      <c r="K27" s="99"/>
      <c r="L27" s="99"/>
      <c r="M27" s="99"/>
      <c r="N27" s="99"/>
      <c r="O27" s="99"/>
      <c r="P27" s="99"/>
      <c r="Q27" s="99"/>
      <c r="R27" s="99"/>
      <c r="S27" s="99"/>
      <c r="T27" s="99"/>
      <c r="U27" s="99"/>
    </row>
    <row r="28" spans="1:21" s="94" customFormat="1" x14ac:dyDescent="0.25">
      <c r="A28" s="99"/>
      <c r="B28" s="423"/>
      <c r="C28" s="424" t="s">
        <v>880</v>
      </c>
      <c r="D28" s="104" t="s">
        <v>715</v>
      </c>
      <c r="E28" s="99"/>
      <c r="F28" s="109">
        <f>COUNTIFS(Estandarización!H:H,"SUST",Estandarización!C:C,'Zoom SUST'!D28)</f>
        <v>1</v>
      </c>
      <c r="G28" s="129">
        <f>SUMIFS(Estandarización!F:F,Estandarización!H:H,"SUST",Estandarización!C:C,'Zoom SUST'!D28)</f>
        <v>0</v>
      </c>
      <c r="H28" s="177">
        <f t="shared" si="0"/>
        <v>0</v>
      </c>
      <c r="I28" s="99"/>
      <c r="J28" s="99"/>
      <c r="K28" s="99"/>
      <c r="L28" s="99"/>
      <c r="M28" s="99"/>
      <c r="N28" s="99"/>
      <c r="O28" s="99"/>
      <c r="P28" s="99"/>
      <c r="Q28" s="99"/>
      <c r="R28" s="99"/>
      <c r="S28" s="99"/>
      <c r="T28" s="99"/>
      <c r="U28" s="99"/>
    </row>
    <row r="29" spans="1:21" s="94" customFormat="1" x14ac:dyDescent="0.25">
      <c r="A29" s="99"/>
      <c r="B29" s="423"/>
      <c r="C29" s="426"/>
      <c r="D29" s="104" t="s">
        <v>716</v>
      </c>
      <c r="E29" s="99"/>
      <c r="F29" s="109">
        <f>COUNTIFS(Estandarización!H:H,"SUST",Estandarización!C:C,'Zoom SUST'!D29)</f>
        <v>1</v>
      </c>
      <c r="G29" s="129">
        <f>SUMIFS(Estandarización!F:F,Estandarización!H:H,"SUST",Estandarización!C:C,'Zoom SUST'!D29)</f>
        <v>0</v>
      </c>
      <c r="H29" s="177">
        <f t="shared" si="0"/>
        <v>0</v>
      </c>
      <c r="I29" s="99"/>
      <c r="J29" s="99"/>
      <c r="K29" s="99"/>
      <c r="L29" s="99"/>
      <c r="M29" s="99"/>
      <c r="N29" s="99"/>
      <c r="O29" s="99"/>
      <c r="P29" s="99"/>
      <c r="Q29" s="99"/>
      <c r="R29" s="99"/>
      <c r="S29" s="99"/>
      <c r="T29" s="99"/>
      <c r="U29" s="99"/>
    </row>
    <row r="30" spans="1:21" s="94" customFormat="1" x14ac:dyDescent="0.25">
      <c r="A30" s="99"/>
      <c r="B30" s="423"/>
      <c r="C30" s="413" t="s">
        <v>881</v>
      </c>
      <c r="D30" s="104" t="s">
        <v>717</v>
      </c>
      <c r="E30" s="99"/>
      <c r="F30" s="109">
        <f>COUNTIFS(Estandarización!H:H,"SUST",Estandarización!C:C,'Zoom SUST'!D30)</f>
        <v>2</v>
      </c>
      <c r="G30" s="129">
        <f>SUMIFS(Estandarización!F:F,Estandarización!H:H,"SUST",Estandarización!C:C,'Zoom SUST'!D30)</f>
        <v>0</v>
      </c>
      <c r="H30" s="177">
        <f t="shared" si="0"/>
        <v>0</v>
      </c>
      <c r="I30" s="99"/>
      <c r="J30" s="99"/>
      <c r="K30" s="99"/>
      <c r="L30" s="99"/>
      <c r="M30" s="99"/>
      <c r="N30" s="99"/>
      <c r="O30" s="99"/>
      <c r="P30" s="99"/>
      <c r="Q30" s="99"/>
      <c r="R30" s="99"/>
      <c r="S30" s="99"/>
      <c r="T30" s="99"/>
      <c r="U30" s="99"/>
    </row>
    <row r="31" spans="1:21" s="94" customFormat="1" x14ac:dyDescent="0.25">
      <c r="A31" s="99"/>
      <c r="B31" s="423"/>
      <c r="C31" s="413"/>
      <c r="D31" s="104" t="s">
        <v>718</v>
      </c>
      <c r="E31" s="99"/>
      <c r="F31" s="109">
        <f>COUNTIFS(Estandarización!H:H,"SUST",Estandarización!C:C,'Zoom SUST'!D31)</f>
        <v>1</v>
      </c>
      <c r="G31" s="129">
        <f>SUMIFS(Estandarización!F:F,Estandarización!H:H,"SUST",Estandarización!C:C,'Zoom SUST'!D31)</f>
        <v>0</v>
      </c>
      <c r="H31" s="177">
        <f t="shared" si="0"/>
        <v>0</v>
      </c>
      <c r="I31" s="99"/>
      <c r="J31" s="99"/>
      <c r="K31" s="99"/>
      <c r="L31" s="99"/>
      <c r="M31" s="99"/>
      <c r="N31" s="99"/>
      <c r="O31" s="99"/>
      <c r="P31" s="99"/>
      <c r="Q31" s="99"/>
      <c r="R31" s="99"/>
      <c r="S31" s="99"/>
      <c r="T31" s="99"/>
      <c r="U31" s="99"/>
    </row>
    <row r="32" spans="1:21" s="94" customFormat="1" x14ac:dyDescent="0.25">
      <c r="A32" s="99"/>
      <c r="B32" s="423"/>
      <c r="C32" s="125" t="s">
        <v>883</v>
      </c>
      <c r="D32" s="104" t="s">
        <v>719</v>
      </c>
      <c r="E32" s="99"/>
      <c r="F32" s="109">
        <f>COUNTIFS(Estandarización!H:H,"SUST",Estandarización!C:C,'Zoom SUST'!D32)</f>
        <v>3</v>
      </c>
      <c r="G32" s="129">
        <f>SUMIFS(Estandarización!F:F,Estandarización!H:H,"SUST",Estandarización!C:C,'Zoom SUST'!D32)</f>
        <v>0</v>
      </c>
      <c r="H32" s="177">
        <f t="shared" si="0"/>
        <v>0</v>
      </c>
      <c r="I32" s="99"/>
      <c r="J32" s="99"/>
      <c r="K32" s="99"/>
      <c r="L32" s="99"/>
      <c r="M32" s="99"/>
      <c r="N32" s="99"/>
      <c r="O32" s="99"/>
      <c r="P32" s="99"/>
      <c r="Q32" s="99"/>
      <c r="R32" s="99"/>
      <c r="S32" s="99"/>
      <c r="T32" s="99"/>
      <c r="U32" s="99"/>
    </row>
    <row r="33" spans="1:21" s="94" customFormat="1" x14ac:dyDescent="0.25">
      <c r="A33" s="99"/>
      <c r="B33" s="418" t="s">
        <v>886</v>
      </c>
      <c r="C33" s="125" t="s">
        <v>882</v>
      </c>
      <c r="D33" s="104" t="s">
        <v>887</v>
      </c>
      <c r="E33" s="99"/>
      <c r="F33" s="109">
        <f>COUNTIFS(Mejora!H:H,"SUST",Mejora!C:C,'Zoom SUST'!D33)</f>
        <v>2</v>
      </c>
      <c r="G33" s="129">
        <f>SUMIFS(Mejora!F:F,Mejora!H:H,"SUST",Mejora!C:C,'Zoom SUST'!D33)</f>
        <v>0</v>
      </c>
      <c r="H33" s="177">
        <f t="shared" si="0"/>
        <v>0</v>
      </c>
      <c r="I33" s="99"/>
      <c r="J33" s="99"/>
      <c r="K33" s="99"/>
      <c r="L33" s="99"/>
      <c r="M33" s="99"/>
      <c r="N33" s="99"/>
      <c r="O33" s="99"/>
      <c r="P33" s="99"/>
      <c r="Q33" s="99"/>
      <c r="R33" s="99"/>
      <c r="S33" s="99"/>
      <c r="T33" s="99"/>
      <c r="U33" s="99"/>
    </row>
    <row r="34" spans="1:21" s="94" customFormat="1" ht="16.5" thickBot="1" x14ac:dyDescent="0.3">
      <c r="A34" s="99"/>
      <c r="B34" s="421"/>
      <c r="C34" s="178" t="s">
        <v>948</v>
      </c>
      <c r="D34" s="179" t="s">
        <v>949</v>
      </c>
      <c r="E34" s="180"/>
      <c r="F34" s="181">
        <f>COUNTIFS(Mejora!H:H,"SUST",Mejora!C:C,'Zoom SUST'!D34)</f>
        <v>2</v>
      </c>
      <c r="G34" s="182">
        <f>SUMIFS(Mejora!F:F,Mejora!H:H,"SUST",Mejora!C:C,'Zoom SUST'!D34)</f>
        <v>2</v>
      </c>
      <c r="H34" s="183">
        <f t="shared" ref="H34" si="3">+G34/F34</f>
        <v>1</v>
      </c>
      <c r="I34" s="99"/>
      <c r="J34" s="99"/>
      <c r="K34" s="99"/>
      <c r="L34" s="99"/>
      <c r="M34" s="99"/>
      <c r="N34" s="99"/>
      <c r="O34" s="99"/>
      <c r="P34" s="99"/>
      <c r="Q34" s="99"/>
      <c r="R34" s="99"/>
      <c r="S34" s="99"/>
      <c r="T34" s="99"/>
      <c r="U34" s="99"/>
    </row>
    <row r="35" spans="1:21" ht="5.25" customHeight="1" thickTop="1" x14ac:dyDescent="0.25">
      <c r="A35" s="83"/>
      <c r="B35" s="100"/>
      <c r="C35" s="83"/>
      <c r="D35" s="83"/>
      <c r="E35" s="83"/>
      <c r="F35" s="83"/>
      <c r="G35" s="83"/>
      <c r="H35" s="83"/>
      <c r="I35" s="83"/>
      <c r="J35" s="83"/>
      <c r="K35" s="83"/>
      <c r="L35" s="83"/>
      <c r="M35" s="83"/>
      <c r="N35" s="83"/>
      <c r="O35" s="83"/>
      <c r="P35" s="83"/>
      <c r="Q35" s="83"/>
      <c r="R35" s="83"/>
      <c r="S35" s="83"/>
      <c r="T35" s="83"/>
      <c r="U35" s="83"/>
    </row>
    <row r="36" spans="1:21" ht="21.75" thickBot="1" x14ac:dyDescent="0.3">
      <c r="A36" s="83"/>
      <c r="B36" s="100"/>
      <c r="C36" s="83"/>
      <c r="D36" s="112" t="s">
        <v>871</v>
      </c>
      <c r="E36" s="99"/>
      <c r="F36" s="112">
        <f>SUM(F5:F35)</f>
        <v>57</v>
      </c>
      <c r="G36" s="112">
        <f>SUM(G5:G35)</f>
        <v>11</v>
      </c>
      <c r="H36" s="184">
        <f t="shared" ref="H36" si="4">+G36/F36</f>
        <v>0.19298245614035087</v>
      </c>
      <c r="I36" s="83"/>
      <c r="J36" s="83"/>
      <c r="K36" s="83"/>
      <c r="L36" s="83"/>
      <c r="M36" s="83"/>
      <c r="N36" s="83"/>
      <c r="O36" s="83"/>
      <c r="P36" s="83"/>
      <c r="Q36" s="83"/>
      <c r="R36" s="83"/>
      <c r="S36" s="83"/>
      <c r="T36" s="83"/>
      <c r="U36" s="83"/>
    </row>
    <row r="37" spans="1:21" x14ac:dyDescent="0.25">
      <c r="A37" s="83"/>
      <c r="B37" s="100"/>
      <c r="C37" s="83"/>
      <c r="D37" s="83"/>
      <c r="E37" s="83"/>
      <c r="F37" s="83"/>
      <c r="G37" s="83"/>
      <c r="H37" s="83"/>
      <c r="I37" s="83"/>
      <c r="J37" s="83"/>
      <c r="K37" s="83"/>
      <c r="L37" s="83"/>
      <c r="M37" s="83"/>
      <c r="N37" s="83"/>
      <c r="O37" s="83"/>
      <c r="P37" s="83"/>
      <c r="Q37" s="83"/>
      <c r="R37" s="83"/>
      <c r="S37" s="83"/>
      <c r="T37" s="83"/>
      <c r="U37" s="83"/>
    </row>
    <row r="38" spans="1:21" x14ac:dyDescent="0.25">
      <c r="A38" s="83"/>
      <c r="B38" s="100"/>
      <c r="C38" s="83"/>
      <c r="D38" s="83"/>
      <c r="E38" s="83"/>
      <c r="F38" s="83"/>
      <c r="G38" s="83"/>
      <c r="H38" s="83"/>
      <c r="I38" s="83"/>
      <c r="J38" s="83"/>
      <c r="K38" s="83"/>
      <c r="L38" s="83"/>
      <c r="M38" s="83"/>
      <c r="N38" s="83"/>
      <c r="O38" s="83"/>
      <c r="P38" s="83"/>
      <c r="Q38" s="83"/>
      <c r="R38" s="83"/>
      <c r="S38" s="83"/>
      <c r="T38" s="83"/>
      <c r="U38" s="83"/>
    </row>
    <row r="39" spans="1:21" x14ac:dyDescent="0.25">
      <c r="A39" s="83"/>
      <c r="B39" s="100"/>
      <c r="C39" s="83"/>
      <c r="D39" s="83"/>
      <c r="E39" s="83"/>
      <c r="F39" s="83"/>
      <c r="G39" s="83"/>
      <c r="H39" s="83"/>
      <c r="I39" s="83"/>
      <c r="J39" s="83"/>
      <c r="K39" s="83"/>
      <c r="L39" s="83"/>
      <c r="M39" s="83"/>
      <c r="N39" s="83"/>
      <c r="O39" s="83"/>
      <c r="P39" s="83"/>
      <c r="Q39" s="83"/>
      <c r="R39" s="83"/>
      <c r="S39" s="83"/>
      <c r="T39" s="83"/>
      <c r="U39" s="83"/>
    </row>
    <row r="40" spans="1:21" x14ac:dyDescent="0.25">
      <c r="A40" s="83"/>
      <c r="B40" s="100"/>
      <c r="C40" s="83"/>
      <c r="D40" s="83"/>
      <c r="E40" s="83"/>
      <c r="F40" s="83"/>
      <c r="G40" s="83"/>
      <c r="H40" s="83"/>
      <c r="I40" s="83"/>
      <c r="J40" s="83"/>
      <c r="K40" s="83"/>
      <c r="L40" s="83"/>
      <c r="M40" s="83"/>
      <c r="N40" s="83"/>
      <c r="O40" s="83"/>
      <c r="P40" s="83"/>
      <c r="Q40" s="83"/>
      <c r="R40" s="83"/>
      <c r="S40" s="83"/>
      <c r="T40" s="83"/>
      <c r="U40" s="83"/>
    </row>
    <row r="41" spans="1:21" x14ac:dyDescent="0.25">
      <c r="A41" s="83"/>
      <c r="B41" s="100"/>
      <c r="C41" s="83"/>
      <c r="D41" s="83"/>
      <c r="E41" s="83"/>
      <c r="F41" s="83"/>
      <c r="G41" s="83"/>
      <c r="H41" s="83"/>
      <c r="I41" s="83"/>
      <c r="J41" s="83"/>
      <c r="K41" s="83"/>
      <c r="L41" s="83"/>
      <c r="M41" s="83"/>
      <c r="N41" s="83"/>
      <c r="O41" s="83"/>
      <c r="P41" s="83"/>
      <c r="Q41" s="83"/>
      <c r="R41" s="83"/>
      <c r="S41" s="83"/>
      <c r="T41" s="83"/>
      <c r="U41" s="83"/>
    </row>
    <row r="42" spans="1:21" x14ac:dyDescent="0.25">
      <c r="A42" s="83"/>
      <c r="B42" s="100"/>
      <c r="C42" s="83"/>
      <c r="D42" s="83"/>
      <c r="E42" s="83"/>
      <c r="F42" s="83"/>
      <c r="G42" s="83"/>
      <c r="H42" s="83"/>
      <c r="I42" s="83"/>
      <c r="J42" s="83"/>
      <c r="K42" s="83"/>
      <c r="L42" s="83"/>
      <c r="M42" s="83"/>
      <c r="N42" s="83"/>
      <c r="O42" s="83"/>
      <c r="P42" s="83"/>
      <c r="Q42" s="83"/>
      <c r="R42" s="83"/>
      <c r="S42" s="83"/>
      <c r="T42" s="83"/>
      <c r="U42" s="83"/>
    </row>
    <row r="43" spans="1:21" x14ac:dyDescent="0.25">
      <c r="A43" s="83"/>
      <c r="B43" s="100"/>
      <c r="C43" s="83"/>
      <c r="D43" s="83"/>
      <c r="E43" s="83"/>
      <c r="F43" s="83"/>
      <c r="G43" s="83"/>
      <c r="H43" s="83"/>
      <c r="I43" s="83"/>
      <c r="J43" s="83"/>
      <c r="K43" s="83"/>
      <c r="L43" s="83"/>
      <c r="M43" s="83"/>
      <c r="N43" s="83"/>
      <c r="O43" s="83"/>
      <c r="P43" s="83"/>
      <c r="Q43" s="83"/>
      <c r="R43" s="83"/>
      <c r="S43" s="83"/>
      <c r="T43" s="83"/>
      <c r="U43" s="83"/>
    </row>
    <row r="44" spans="1:21" x14ac:dyDescent="0.25">
      <c r="A44" s="83"/>
      <c r="B44" s="100"/>
      <c r="C44" s="83"/>
      <c r="D44" s="83"/>
      <c r="E44" s="83"/>
      <c r="F44" s="83"/>
      <c r="G44" s="83"/>
      <c r="H44" s="83"/>
      <c r="I44" s="83"/>
      <c r="J44" s="83"/>
      <c r="K44" s="83"/>
      <c r="L44" s="83"/>
      <c r="M44" s="83"/>
      <c r="N44" s="83"/>
      <c r="O44" s="83"/>
      <c r="P44" s="83"/>
      <c r="Q44" s="83"/>
      <c r="R44" s="83"/>
      <c r="S44" s="83"/>
      <c r="T44" s="83"/>
      <c r="U44" s="83"/>
    </row>
    <row r="45" spans="1:21" x14ac:dyDescent="0.25">
      <c r="A45" s="83"/>
      <c r="B45" s="100"/>
      <c r="C45" s="83"/>
      <c r="D45" s="83"/>
      <c r="E45" s="83"/>
      <c r="F45" s="83"/>
      <c r="G45" s="83"/>
      <c r="H45" s="83"/>
      <c r="I45" s="83"/>
      <c r="J45" s="83"/>
      <c r="K45" s="83"/>
      <c r="L45" s="83"/>
      <c r="M45" s="83"/>
      <c r="N45" s="83"/>
      <c r="O45" s="83"/>
      <c r="P45" s="83"/>
      <c r="Q45" s="83"/>
      <c r="R45" s="83"/>
      <c r="S45" s="83"/>
      <c r="T45" s="83"/>
      <c r="U45" s="83"/>
    </row>
    <row r="46" spans="1:21" x14ac:dyDescent="0.25">
      <c r="A46" s="83"/>
      <c r="B46" s="100"/>
      <c r="C46" s="83"/>
      <c r="D46" s="83"/>
      <c r="E46" s="83"/>
      <c r="F46" s="83"/>
      <c r="G46" s="83"/>
      <c r="H46" s="83"/>
      <c r="I46" s="83"/>
      <c r="J46" s="83"/>
      <c r="K46" s="83"/>
      <c r="L46" s="83"/>
      <c r="M46" s="83"/>
      <c r="N46" s="83"/>
      <c r="O46" s="83"/>
      <c r="P46" s="83"/>
      <c r="Q46" s="83"/>
      <c r="R46" s="83"/>
      <c r="S46" s="83"/>
      <c r="T46" s="83"/>
      <c r="U46" s="83"/>
    </row>
    <row r="47" spans="1:21" x14ac:dyDescent="0.25">
      <c r="A47" s="83"/>
      <c r="B47" s="100"/>
      <c r="C47" s="83"/>
      <c r="D47" s="83"/>
      <c r="E47" s="83"/>
      <c r="F47" s="83"/>
      <c r="G47" s="83"/>
      <c r="H47" s="83"/>
      <c r="I47" s="83"/>
      <c r="J47" s="83"/>
      <c r="K47" s="83"/>
      <c r="L47" s="83"/>
      <c r="M47" s="83"/>
      <c r="N47" s="83"/>
      <c r="O47" s="83"/>
      <c r="P47" s="83"/>
      <c r="Q47" s="83"/>
      <c r="R47" s="83"/>
      <c r="S47" s="83"/>
      <c r="T47" s="83"/>
      <c r="U47" s="83"/>
    </row>
    <row r="48" spans="1:21" x14ac:dyDescent="0.25">
      <c r="A48" s="83"/>
      <c r="B48" s="100"/>
      <c r="C48" s="83"/>
      <c r="D48" s="83"/>
      <c r="E48" s="83"/>
      <c r="F48" s="83"/>
      <c r="G48" s="83"/>
      <c r="H48" s="83"/>
      <c r="I48" s="83"/>
      <c r="J48" s="83"/>
      <c r="K48" s="83"/>
      <c r="L48" s="83"/>
      <c r="M48" s="83"/>
      <c r="N48" s="83"/>
      <c r="O48" s="83"/>
      <c r="P48" s="83"/>
      <c r="Q48" s="83"/>
      <c r="R48" s="83"/>
      <c r="S48" s="83"/>
      <c r="T48" s="83"/>
      <c r="U48" s="83"/>
    </row>
    <row r="49" spans="1:21" x14ac:dyDescent="0.25">
      <c r="A49" s="83"/>
      <c r="B49" s="100"/>
      <c r="C49" s="83"/>
      <c r="D49" s="83"/>
      <c r="E49" s="83"/>
      <c r="F49" s="83"/>
      <c r="G49" s="83"/>
      <c r="H49" s="83"/>
      <c r="I49" s="83"/>
      <c r="J49" s="83"/>
      <c r="K49" s="83"/>
      <c r="L49" s="83"/>
      <c r="M49" s="83"/>
      <c r="N49" s="83"/>
      <c r="O49" s="83"/>
      <c r="P49" s="83"/>
      <c r="Q49" s="83"/>
      <c r="R49" s="83"/>
      <c r="S49" s="83"/>
      <c r="T49" s="83"/>
      <c r="U49" s="83"/>
    </row>
    <row r="50" spans="1:21" x14ac:dyDescent="0.25">
      <c r="A50" s="83"/>
      <c r="B50" s="100"/>
      <c r="C50" s="83"/>
      <c r="D50" s="83"/>
      <c r="E50" s="83"/>
      <c r="F50" s="83"/>
      <c r="G50" s="83"/>
      <c r="H50" s="83"/>
      <c r="I50" s="83"/>
      <c r="J50" s="83"/>
      <c r="K50" s="83"/>
      <c r="L50" s="83"/>
      <c r="M50" s="83"/>
      <c r="N50" s="83"/>
      <c r="O50" s="83"/>
      <c r="P50" s="83"/>
      <c r="Q50" s="83"/>
      <c r="R50" s="83"/>
      <c r="S50" s="83"/>
      <c r="T50" s="83"/>
      <c r="U50" s="83"/>
    </row>
    <row r="51" spans="1:21" x14ac:dyDescent="0.25">
      <c r="A51" s="83"/>
      <c r="B51" s="100"/>
      <c r="C51" s="83"/>
      <c r="D51" s="83"/>
      <c r="E51" s="83"/>
      <c r="F51" s="83"/>
      <c r="G51" s="83"/>
      <c r="H51" s="83"/>
      <c r="I51" s="83"/>
      <c r="J51" s="83"/>
      <c r="K51" s="83"/>
      <c r="L51" s="83"/>
      <c r="M51" s="83"/>
      <c r="N51" s="83"/>
      <c r="O51" s="83"/>
      <c r="P51" s="83"/>
      <c r="Q51" s="83"/>
      <c r="R51" s="83"/>
      <c r="S51" s="83"/>
      <c r="T51" s="83"/>
      <c r="U51" s="83"/>
    </row>
    <row r="52" spans="1:21" x14ac:dyDescent="0.25">
      <c r="A52" s="83"/>
      <c r="B52" s="100"/>
      <c r="C52" s="83"/>
      <c r="D52" s="83"/>
      <c r="E52" s="83"/>
      <c r="F52" s="83"/>
      <c r="G52" s="83"/>
      <c r="H52" s="83"/>
      <c r="I52" s="83"/>
      <c r="J52" s="83"/>
      <c r="K52" s="83"/>
      <c r="L52" s="83"/>
      <c r="M52" s="83"/>
      <c r="N52" s="83"/>
      <c r="O52" s="83"/>
      <c r="P52" s="83"/>
      <c r="Q52" s="83"/>
      <c r="R52" s="83"/>
      <c r="S52" s="83"/>
      <c r="T52" s="83"/>
      <c r="U52" s="83"/>
    </row>
    <row r="53" spans="1:21" x14ac:dyDescent="0.25">
      <c r="A53" s="83"/>
      <c r="B53" s="100"/>
      <c r="C53" s="83"/>
      <c r="D53" s="83"/>
      <c r="E53" s="83"/>
      <c r="F53" s="83"/>
      <c r="G53" s="83"/>
      <c r="H53" s="83"/>
      <c r="I53" s="83"/>
      <c r="J53" s="83"/>
      <c r="K53" s="83"/>
      <c r="L53" s="83"/>
      <c r="M53" s="83"/>
      <c r="N53" s="83"/>
      <c r="O53" s="83"/>
      <c r="P53" s="83"/>
      <c r="Q53" s="83"/>
      <c r="R53" s="83"/>
      <c r="S53" s="83"/>
      <c r="T53" s="83"/>
      <c r="U53" s="83"/>
    </row>
    <row r="54" spans="1:21" x14ac:dyDescent="0.25">
      <c r="A54" s="83"/>
      <c r="B54" s="100"/>
      <c r="C54" s="83"/>
      <c r="D54" s="83"/>
      <c r="E54" s="83"/>
      <c r="F54" s="83"/>
      <c r="G54" s="83"/>
      <c r="H54" s="83"/>
      <c r="I54" s="83"/>
      <c r="J54" s="83"/>
      <c r="K54" s="83"/>
      <c r="L54" s="83"/>
      <c r="M54" s="83"/>
      <c r="N54" s="83"/>
      <c r="O54" s="83"/>
      <c r="P54" s="83"/>
      <c r="Q54" s="83"/>
      <c r="R54" s="83"/>
      <c r="S54" s="83"/>
      <c r="T54" s="83"/>
      <c r="U54" s="83"/>
    </row>
    <row r="55" spans="1:21" x14ac:dyDescent="0.25">
      <c r="A55" s="83"/>
      <c r="B55" s="100"/>
      <c r="C55" s="83"/>
      <c r="D55" s="83"/>
      <c r="E55" s="83"/>
      <c r="F55" s="83"/>
      <c r="G55" s="83"/>
      <c r="H55" s="83"/>
      <c r="I55" s="83"/>
      <c r="J55" s="83"/>
      <c r="K55" s="83"/>
      <c r="L55" s="83"/>
      <c r="M55" s="83"/>
      <c r="N55" s="83"/>
      <c r="O55" s="83"/>
      <c r="P55" s="83"/>
      <c r="Q55" s="83"/>
      <c r="R55" s="83"/>
      <c r="S55" s="83"/>
      <c r="T55" s="83"/>
      <c r="U55" s="83"/>
    </row>
  </sheetData>
  <mergeCells count="10">
    <mergeCell ref="B33:B34"/>
    <mergeCell ref="C30:C31"/>
    <mergeCell ref="B5:B23"/>
    <mergeCell ref="B24:B32"/>
    <mergeCell ref="F2:H2"/>
    <mergeCell ref="C5:C7"/>
    <mergeCell ref="C20:C23"/>
    <mergeCell ref="C9:C19"/>
    <mergeCell ref="C25:C27"/>
    <mergeCell ref="C28:C29"/>
  </mergeCells>
  <conditionalFormatting sqref="H5:H34">
    <cfRule type="dataBar" priority="209">
      <dataBar>
        <cfvo type="min"/>
        <cfvo type="max"/>
        <color rgb="FFFFB628"/>
      </dataBar>
      <extLst>
        <ext xmlns:x14="http://schemas.microsoft.com/office/spreadsheetml/2009/9/main" uri="{B025F937-C7B1-47D3-B67F-A62EFF666E3E}">
          <x14:id>{CF2E64C4-0F4C-4AB5-A2C9-B09EF9B8295D}</x14:id>
        </ext>
      </extLst>
    </cfRule>
  </conditionalFormatting>
  <conditionalFormatting sqref="H36">
    <cfRule type="dataBar" priority="1">
      <dataBar>
        <cfvo type="min"/>
        <cfvo type="max"/>
        <color rgb="FFFFB628"/>
      </dataBar>
      <extLst>
        <ext xmlns:x14="http://schemas.microsoft.com/office/spreadsheetml/2009/9/main" uri="{B025F937-C7B1-47D3-B67F-A62EFF666E3E}">
          <x14:id>{52B75FFF-CBBA-43D0-BB17-CCD9E9E82685}</x14:id>
        </ext>
      </extLst>
    </cfRule>
  </conditionalFormatting>
  <pageMargins left="0.7" right="0.7" top="0.75" bottom="0.75" header="0.3" footer="0.3"/>
  <ignoredErrors>
    <ignoredError sqref="F5:H34" unlockedFormula="1"/>
  </ignoredErrors>
  <drawing r:id="rId1"/>
  <extLst>
    <ext xmlns:x14="http://schemas.microsoft.com/office/spreadsheetml/2009/9/main" uri="{78C0D931-6437-407d-A8EE-F0AAD7539E65}">
      <x14:conditionalFormattings>
        <x14:conditionalFormatting xmlns:xm="http://schemas.microsoft.com/office/excel/2006/main">
          <x14:cfRule type="dataBar" id="{CF2E64C4-0F4C-4AB5-A2C9-B09EF9B8295D}">
            <x14:dataBar minLength="0" maxLength="100" border="1" negativeBarBorderColorSameAsPositive="0">
              <x14:cfvo type="autoMin"/>
              <x14:cfvo type="autoMax"/>
              <x14:borderColor rgb="FFFFB628"/>
              <x14:negativeFillColor rgb="FFFF0000"/>
              <x14:negativeBorderColor rgb="FFFF0000"/>
              <x14:axisColor rgb="FF000000"/>
            </x14:dataBar>
          </x14:cfRule>
          <xm:sqref>H5:H34</xm:sqref>
        </x14:conditionalFormatting>
        <x14:conditionalFormatting xmlns:xm="http://schemas.microsoft.com/office/excel/2006/main">
          <x14:cfRule type="dataBar" id="{52B75FFF-CBBA-43D0-BB17-CCD9E9E82685}">
            <x14:dataBar minLength="0" maxLength="100" border="1" negativeBarBorderColorSameAsPositive="0">
              <x14:cfvo type="autoMin"/>
              <x14:cfvo type="autoMax"/>
              <x14:borderColor rgb="FFFFB628"/>
              <x14:negativeFillColor rgb="FFFF0000"/>
              <x14:negativeBorderColor rgb="FFFF0000"/>
              <x14:axisColor rgb="FF000000"/>
            </x14:dataBar>
          </x14:cfRule>
          <xm:sqref>H36</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3CE4B-8550-4182-94C3-E70B9D99227B}">
  <sheetPr>
    <tabColor rgb="FF0070C0"/>
  </sheetPr>
  <dimension ref="A2:E103"/>
  <sheetViews>
    <sheetView showGridLines="0" zoomScale="70" zoomScaleNormal="70" workbookViewId="0">
      <selection activeCell="F7" sqref="F7"/>
    </sheetView>
  </sheetViews>
  <sheetFormatPr baseColWidth="10" defaultRowHeight="15.75" x14ac:dyDescent="0.25"/>
  <cols>
    <col min="1" max="1" width="42.125" bestFit="1" customWidth="1"/>
    <col min="2" max="2" width="48" bestFit="1" customWidth="1"/>
    <col min="3" max="5" width="18.25" style="3" customWidth="1"/>
    <col min="6" max="6" width="15.125" customWidth="1"/>
  </cols>
  <sheetData>
    <row r="2" spans="1:5" ht="18.75" x14ac:dyDescent="0.3">
      <c r="A2" s="275" t="s">
        <v>1236</v>
      </c>
      <c r="B2" s="275" t="s">
        <v>857</v>
      </c>
      <c r="C2" s="275" t="s">
        <v>1233</v>
      </c>
      <c r="D2" s="275" t="s">
        <v>1234</v>
      </c>
      <c r="E2" s="275" t="s">
        <v>1235</v>
      </c>
    </row>
    <row r="3" spans="1:5" x14ac:dyDescent="0.25">
      <c r="A3" t="s">
        <v>363</v>
      </c>
      <c r="B3" t="s">
        <v>522</v>
      </c>
      <c r="C3" s="3">
        <f>COUNTIF(Operacional!C:C,'Summary BPL'!B3)-COUNTIFS(Operacional!C:C,'Summary BPL'!B3,Operacional!F:F,"N/A")-COUNTIFS(Operacional!C:C,'Summary BPL'!B3,Operacional!F:F,"NA - 1")-COUNTIFS(Operacional!C:C,'Summary BPL'!B3,Operacional!F:F,"NA - 0")</f>
        <v>4</v>
      </c>
      <c r="D3" s="3">
        <f>SUMIFS(Operacional!F:F,Operacional!C:C,'Summary BPL'!B3)</f>
        <v>4</v>
      </c>
      <c r="E3" s="78">
        <f>+IFERROR(D3/C3,0)</f>
        <v>1</v>
      </c>
    </row>
    <row r="4" spans="1:5" x14ac:dyDescent="0.25">
      <c r="A4" t="s">
        <v>363</v>
      </c>
      <c r="B4" t="s">
        <v>523</v>
      </c>
      <c r="C4" s="3">
        <f>COUNTIF(Operacional!C:C,'Summary BPL'!B4)-COUNTIFS(Operacional!C:C,'Summary BPL'!B4,Operacional!F:F,"N/A")-COUNTIFS(Operacional!C:C,'Summary BPL'!B4,Operacional!F:F,"NA - 1")-COUNTIFS(Operacional!C:C,'Summary BPL'!B4,Operacional!F:F,"NA - 0")</f>
        <v>5</v>
      </c>
      <c r="D4" s="3">
        <f>SUMIFS(Operacional!F:F,Operacional!C:C,'Summary BPL'!B4)</f>
        <v>2</v>
      </c>
      <c r="E4" s="78">
        <f t="shared" ref="E4:E19" si="0">+IFERROR(D4/C4,0)</f>
        <v>0.4</v>
      </c>
    </row>
    <row r="5" spans="1:5" x14ac:dyDescent="0.25">
      <c r="A5" t="s">
        <v>363</v>
      </c>
      <c r="B5" t="s">
        <v>585</v>
      </c>
      <c r="C5" s="3">
        <f>COUNTIF(Operacional!C:C,'Summary BPL'!B5)-COUNTIFS(Operacional!C:C,'Summary BPL'!B5,Operacional!F:F,"N/A")-COUNTIFS(Operacional!C:C,'Summary BPL'!B5,Operacional!F:F,"NA - 1")-COUNTIFS(Operacional!C:C,'Summary BPL'!B5,Operacional!F:F,"NA - 0")</f>
        <v>2</v>
      </c>
      <c r="D5" s="3">
        <f>SUMIFS(Operacional!F:F,Operacional!C:C,'Summary BPL'!B5)</f>
        <v>0</v>
      </c>
      <c r="E5" s="78">
        <f t="shared" si="0"/>
        <v>0</v>
      </c>
    </row>
    <row r="6" spans="1:5" x14ac:dyDescent="0.25">
      <c r="A6" t="s">
        <v>363</v>
      </c>
      <c r="B6" t="s">
        <v>586</v>
      </c>
      <c r="C6" s="3">
        <f>COUNTIF(Operacional!C:C,'Summary BPL'!B6)-COUNTIFS(Operacional!C:C,'Summary BPL'!B6,Operacional!F:F,"N/A")-COUNTIFS(Operacional!C:C,'Summary BPL'!B6,Operacional!F:F,"NA - 1")-COUNTIFS(Operacional!C:C,'Summary BPL'!B6,Operacional!F:F,"NA - 0")</f>
        <v>3</v>
      </c>
      <c r="D6" s="3">
        <f>SUMIFS(Operacional!F:F,Operacional!C:C,'Summary BPL'!B6)</f>
        <v>0</v>
      </c>
      <c r="E6" s="78">
        <f t="shared" si="0"/>
        <v>0</v>
      </c>
    </row>
    <row r="7" spans="1:5" x14ac:dyDescent="0.25">
      <c r="A7" t="s">
        <v>363</v>
      </c>
      <c r="B7" t="s">
        <v>587</v>
      </c>
      <c r="C7" s="3">
        <f>COUNTIF(Operacional!C:C,'Summary BPL'!B7)-COUNTIFS(Operacional!C:C,'Summary BPL'!B7,Operacional!F:F,"N/A")-COUNTIFS(Operacional!C:C,'Summary BPL'!B7,Operacional!F:F,"NA - 1")-COUNTIFS(Operacional!C:C,'Summary BPL'!B7,Operacional!F:F,"NA - 0")</f>
        <v>4</v>
      </c>
      <c r="D7" s="3">
        <f>SUMIFS(Operacional!F:F,Operacional!C:C,'Summary BPL'!B7)</f>
        <v>2</v>
      </c>
      <c r="E7" s="78">
        <f t="shared" si="0"/>
        <v>0.5</v>
      </c>
    </row>
    <row r="8" spans="1:5" x14ac:dyDescent="0.25">
      <c r="A8" t="s">
        <v>363</v>
      </c>
      <c r="B8" t="s">
        <v>588</v>
      </c>
      <c r="C8" s="3">
        <f>COUNTIF(Operacional!C:C,'Summary BPL'!B8)-COUNTIFS(Operacional!C:C,'Summary BPL'!B8,Operacional!F:F,"N/A")-COUNTIFS(Operacional!C:C,'Summary BPL'!B8,Operacional!F:F,"NA - 1")-COUNTIFS(Operacional!C:C,'Summary BPL'!B8,Operacional!F:F,"NA - 0")</f>
        <v>4</v>
      </c>
      <c r="D8" s="3">
        <f>SUMIFS(Operacional!F:F,Operacional!C:C,'Summary BPL'!B8)</f>
        <v>1</v>
      </c>
      <c r="E8" s="78">
        <f t="shared" si="0"/>
        <v>0.25</v>
      </c>
    </row>
    <row r="9" spans="1:5" x14ac:dyDescent="0.25">
      <c r="A9" t="s">
        <v>363</v>
      </c>
      <c r="B9" t="s">
        <v>589</v>
      </c>
      <c r="C9" s="3">
        <f>COUNTIF(Operacional!C:C,'Summary BPL'!B9)-COUNTIFS(Operacional!C:C,'Summary BPL'!B9,Operacional!F:F,"N/A")-COUNTIFS(Operacional!C:C,'Summary BPL'!B9,Operacional!F:F,"NA - 1")-COUNTIFS(Operacional!C:C,'Summary BPL'!B9,Operacional!F:F,"NA - 0")</f>
        <v>2</v>
      </c>
      <c r="D9" s="3">
        <f>SUMIFS(Operacional!F:F,Operacional!C:C,'Summary BPL'!B9)</f>
        <v>1</v>
      </c>
      <c r="E9" s="78">
        <f t="shared" si="0"/>
        <v>0.5</v>
      </c>
    </row>
    <row r="10" spans="1:5" x14ac:dyDescent="0.25">
      <c r="A10" t="s">
        <v>363</v>
      </c>
      <c r="B10" t="s">
        <v>590</v>
      </c>
      <c r="C10" s="3">
        <f>COUNTIF(Operacional!C:C,'Summary BPL'!B10)-COUNTIFS(Operacional!C:C,'Summary BPL'!B10,Operacional!F:F,"N/A")-COUNTIFS(Operacional!C:C,'Summary BPL'!B10,Operacional!F:F,"NA - 1")-COUNTIFS(Operacional!C:C,'Summary BPL'!B10,Operacional!F:F,"NA - 0")</f>
        <v>9</v>
      </c>
      <c r="D10" s="3">
        <f>SUMIFS(Operacional!F:F,Operacional!C:C,'Summary BPL'!B10)</f>
        <v>1</v>
      </c>
      <c r="E10" s="78">
        <f t="shared" si="0"/>
        <v>0.1111111111111111</v>
      </c>
    </row>
    <row r="11" spans="1:5" x14ac:dyDescent="0.25">
      <c r="A11" t="s">
        <v>363</v>
      </c>
      <c r="B11" t="s">
        <v>591</v>
      </c>
      <c r="C11" s="3">
        <f>COUNTIF(Operacional!C:C,'Summary BPL'!B11)-COUNTIFS(Operacional!C:C,'Summary BPL'!B11,Operacional!F:F,"N/A")-COUNTIFS(Operacional!C:C,'Summary BPL'!B11,Operacional!F:F,"NA - 1")-COUNTIFS(Operacional!C:C,'Summary BPL'!B11,Operacional!F:F,"NA - 0")</f>
        <v>8</v>
      </c>
      <c r="D11" s="3">
        <f>SUMIFS(Operacional!F:F,Operacional!C:C,'Summary BPL'!B11)</f>
        <v>1</v>
      </c>
      <c r="E11" s="78">
        <f t="shared" si="0"/>
        <v>0.125</v>
      </c>
    </row>
    <row r="12" spans="1:5" x14ac:dyDescent="0.25">
      <c r="A12" t="s">
        <v>363</v>
      </c>
      <c r="B12" t="s">
        <v>592</v>
      </c>
      <c r="C12" s="3">
        <f>COUNTIF(Operacional!C:C,'Summary BPL'!B12)-COUNTIFS(Operacional!C:C,'Summary BPL'!B12,Operacional!F:F,"N/A")-COUNTIFS(Operacional!C:C,'Summary BPL'!B12,Operacional!F:F,"NA - 1")-COUNTIFS(Operacional!C:C,'Summary BPL'!B12,Operacional!F:F,"NA - 0")</f>
        <v>6</v>
      </c>
      <c r="D12" s="3">
        <f>SUMIFS(Operacional!F:F,Operacional!C:C,'Summary BPL'!B12)</f>
        <v>4</v>
      </c>
      <c r="E12" s="78">
        <f t="shared" si="0"/>
        <v>0.66666666666666663</v>
      </c>
    </row>
    <row r="13" spans="1:5" x14ac:dyDescent="0.25">
      <c r="A13" t="s">
        <v>363</v>
      </c>
      <c r="B13" t="s">
        <v>593</v>
      </c>
      <c r="C13" s="3">
        <f>COUNTIF(Operacional!C:C,'Summary BPL'!B13)-COUNTIFS(Operacional!C:C,'Summary BPL'!B13,Operacional!F:F,"N/A")-COUNTIFS(Operacional!C:C,'Summary BPL'!B13,Operacional!F:F,"NA - 1")-COUNTIFS(Operacional!C:C,'Summary BPL'!B13,Operacional!F:F,"NA - 0")</f>
        <v>4</v>
      </c>
      <c r="D13" s="3">
        <f>SUMIFS(Operacional!F:F,Operacional!C:C,'Summary BPL'!B13)</f>
        <v>2</v>
      </c>
      <c r="E13" s="78">
        <f t="shared" si="0"/>
        <v>0.5</v>
      </c>
    </row>
    <row r="14" spans="1:5" x14ac:dyDescent="0.25">
      <c r="C14" s="3">
        <f>COUNTIF(Operacional!C:C,'Summary BPL'!B14)-COUNTIFS(Operacional!C:C,'Summary BPL'!B14,Operacional!F:F,"N/A")-COUNTIFS(Operacional!C:C,'Summary BPL'!B14,Operacional!F:F,"NA - 1")-COUNTIFS(Operacional!C:C,'Summary BPL'!B14,Operacional!F:F,"NA - 0")</f>
        <v>0</v>
      </c>
      <c r="D14" s="3">
        <f>SUMIFS(Operacional!F:F,Operacional!C:C,'Summary BPL'!B14)</f>
        <v>0</v>
      </c>
      <c r="E14" s="78">
        <f t="shared" si="0"/>
        <v>0</v>
      </c>
    </row>
    <row r="15" spans="1:5" x14ac:dyDescent="0.25">
      <c r="A15" t="s">
        <v>5</v>
      </c>
      <c r="B15" t="s">
        <v>22</v>
      </c>
      <c r="C15" s="3">
        <f>COUNTIF(Operacional!C:C,'Summary BPL'!B15)-COUNTIFS(Operacional!C:C,'Summary BPL'!B15,Operacional!F:F,"N/A")-COUNTIFS(Operacional!C:C,'Summary BPL'!B15,Operacional!F:F,"NA - 1")-COUNTIFS(Operacional!C:C,'Summary BPL'!B15,Operacional!F:F,"NA - 0")</f>
        <v>3</v>
      </c>
      <c r="D15" s="3">
        <f>SUMIFS(Operacional!F:F,Operacional!C:C,'Summary BPL'!B15)</f>
        <v>1</v>
      </c>
      <c r="E15" s="78">
        <f t="shared" si="0"/>
        <v>0.33333333333333331</v>
      </c>
    </row>
    <row r="16" spans="1:5" x14ac:dyDescent="0.25">
      <c r="A16" t="s">
        <v>5</v>
      </c>
      <c r="B16" t="s">
        <v>25</v>
      </c>
      <c r="C16" s="3">
        <f>COUNTIF(Operacional!C:C,'Summary BPL'!B16)-COUNTIFS(Operacional!C:C,'Summary BPL'!B16,Operacional!F:F,"N/A")-COUNTIFS(Operacional!C:C,'Summary BPL'!B16,Operacional!F:F,"NA - 1")-COUNTIFS(Operacional!C:C,'Summary BPL'!B16,Operacional!F:F,"NA - 0")</f>
        <v>18</v>
      </c>
      <c r="D16" s="3">
        <f>SUMIFS(Operacional!F:F,Operacional!C:C,'Summary BPL'!B16)</f>
        <v>12</v>
      </c>
      <c r="E16" s="78">
        <f t="shared" si="0"/>
        <v>0.66666666666666663</v>
      </c>
    </row>
    <row r="17" spans="1:5" x14ac:dyDescent="0.25">
      <c r="A17" t="s">
        <v>5</v>
      </c>
      <c r="B17" t="s">
        <v>23</v>
      </c>
      <c r="C17" s="3">
        <f>COUNTIF(Operacional!C:C,'Summary BPL'!B17)-COUNTIFS(Operacional!C:C,'Summary BPL'!B17,Operacional!F:F,"N/A")-COUNTIFS(Operacional!C:C,'Summary BPL'!B17,Operacional!F:F,"NA - 1")-COUNTIFS(Operacional!C:C,'Summary BPL'!B17,Operacional!F:F,"NA - 0")</f>
        <v>10</v>
      </c>
      <c r="D17" s="3">
        <f>SUMIFS(Operacional!F:F,Operacional!C:C,'Summary BPL'!B17)</f>
        <v>10</v>
      </c>
      <c r="E17" s="78">
        <f t="shared" si="0"/>
        <v>1</v>
      </c>
    </row>
    <row r="18" spans="1:5" x14ac:dyDescent="0.25">
      <c r="A18" t="s">
        <v>5</v>
      </c>
      <c r="B18" t="s">
        <v>24</v>
      </c>
      <c r="C18" s="3">
        <f>COUNTIF(Operacional!C:C,'Summary BPL'!B18)-COUNTIFS(Operacional!C:C,'Summary BPL'!B18,Operacional!F:F,"N/A")-COUNTIFS(Operacional!C:C,'Summary BPL'!B18,Operacional!F:F,"NA - 1")-COUNTIFS(Operacional!C:C,'Summary BPL'!B18,Operacional!F:F,"NA - 0")</f>
        <v>6</v>
      </c>
      <c r="D18" s="3">
        <f>SUMIFS(Operacional!F:F,Operacional!C:C,'Summary BPL'!B18)</f>
        <v>6</v>
      </c>
      <c r="E18" s="78">
        <f t="shared" si="0"/>
        <v>1</v>
      </c>
    </row>
    <row r="19" spans="1:5" x14ac:dyDescent="0.25">
      <c r="A19" t="s">
        <v>5</v>
      </c>
      <c r="B19" t="s">
        <v>917</v>
      </c>
      <c r="C19" s="3">
        <f>COUNTIF(Operacional!C:C,'Summary BPL'!B19)-COUNTIFS(Operacional!C:C,'Summary BPL'!B19,Operacional!F:F,"N/A")-COUNTIFS(Operacional!C:C,'Summary BPL'!B19,Operacional!F:F,"NA - 1")-COUNTIFS(Operacional!C:C,'Summary BPL'!B19,Operacional!F:F,"NA - 0")</f>
        <v>0</v>
      </c>
      <c r="D19" s="3">
        <f>SUMIFS(Operacional!F:F,Operacional!C:C,'Summary BPL'!B19)</f>
        <v>0</v>
      </c>
      <c r="E19" s="78">
        <f t="shared" si="0"/>
        <v>0</v>
      </c>
    </row>
    <row r="21" spans="1:5" x14ac:dyDescent="0.25">
      <c r="A21" t="s">
        <v>26</v>
      </c>
      <c r="B21" t="s">
        <v>36</v>
      </c>
      <c r="C21" s="3">
        <f>COUNTIF(Operacional!C:C,'Summary BPL'!B21)-COUNTIFS(Operacional!C:C,'Summary BPL'!B21,Operacional!F:F,"N/A")-COUNTIFS(Operacional!C:C,'Summary BPL'!B21,Operacional!F:F,"NA - 1")-COUNTIFS(Operacional!C:C,'Summary BPL'!B21,Operacional!F:F,"NA - 0")</f>
        <v>1</v>
      </c>
      <c r="D21" s="3">
        <f>SUMIFS(Operacional!F:F,Operacional!C:C,'Summary BPL'!B21)</f>
        <v>1</v>
      </c>
      <c r="E21" s="78">
        <f t="shared" ref="E21:E84" si="1">+IFERROR(D21/C21,0)</f>
        <v>1</v>
      </c>
    </row>
    <row r="22" spans="1:5" x14ac:dyDescent="0.25">
      <c r="A22" t="s">
        <v>26</v>
      </c>
      <c r="B22" t="s">
        <v>508</v>
      </c>
      <c r="C22" s="3">
        <f>COUNTIF(Operacional!C:C,'Summary BPL'!B22)-COUNTIFS(Operacional!C:C,'Summary BPL'!B22,Operacional!F:F,"N/A")-COUNTIFS(Operacional!C:C,'Summary BPL'!B22,Operacional!F:F,"NA - 1")-COUNTIFS(Operacional!C:C,'Summary BPL'!B22,Operacional!F:F,"NA - 0")</f>
        <v>4</v>
      </c>
      <c r="D22" s="3">
        <f>SUMIFS(Operacional!F:F,Operacional!C:C,'Summary BPL'!B22)</f>
        <v>4</v>
      </c>
      <c r="E22" s="78">
        <f t="shared" si="1"/>
        <v>1</v>
      </c>
    </row>
    <row r="23" spans="1:5" x14ac:dyDescent="0.25">
      <c r="A23" t="s">
        <v>26</v>
      </c>
      <c r="B23" t="s">
        <v>636</v>
      </c>
      <c r="C23" s="3">
        <f>COUNTIF(Operacional!C:C,'Summary BPL'!B23)-COUNTIFS(Operacional!C:C,'Summary BPL'!B23,Operacional!F:F,"N/A")-COUNTIFS(Operacional!C:C,'Summary BPL'!B23,Operacional!F:F,"NA - 1")-COUNTIFS(Operacional!C:C,'Summary BPL'!B23,Operacional!F:F,"NA - 0")</f>
        <v>5</v>
      </c>
      <c r="D23" s="3">
        <f>SUMIFS(Operacional!F:F,Operacional!C:C,'Summary BPL'!B23)</f>
        <v>2</v>
      </c>
      <c r="E23" s="78">
        <f t="shared" si="1"/>
        <v>0.4</v>
      </c>
    </row>
    <row r="24" spans="1:5" x14ac:dyDescent="0.25">
      <c r="A24" t="s">
        <v>26</v>
      </c>
      <c r="B24" t="s">
        <v>37</v>
      </c>
      <c r="C24" s="3">
        <f>COUNTIF(Operacional!C:C,'Summary BPL'!B24)-COUNTIFS(Operacional!C:C,'Summary BPL'!B24,Operacional!F:F,"N/A")-COUNTIFS(Operacional!C:C,'Summary BPL'!B24,Operacional!F:F,"NA - 1")-COUNTIFS(Operacional!C:C,'Summary BPL'!B24,Operacional!F:F,"NA - 0")</f>
        <v>2</v>
      </c>
      <c r="D24" s="3">
        <f>SUMIFS(Operacional!F:F,Operacional!C:C,'Summary BPL'!B24)</f>
        <v>2</v>
      </c>
      <c r="E24" s="78">
        <f t="shared" si="1"/>
        <v>1</v>
      </c>
    </row>
    <row r="25" spans="1:5" x14ac:dyDescent="0.25">
      <c r="A25" t="s">
        <v>26</v>
      </c>
      <c r="B25" t="s">
        <v>39</v>
      </c>
      <c r="C25" s="3">
        <f>COUNTIF(Operacional!C:C,'Summary BPL'!B25)-COUNTIFS(Operacional!C:C,'Summary BPL'!B25,Operacional!F:F,"N/A")-COUNTIFS(Operacional!C:C,'Summary BPL'!B25,Operacional!F:F,"NA - 1")-COUNTIFS(Operacional!C:C,'Summary BPL'!B25,Operacional!F:F,"NA - 0")</f>
        <v>4</v>
      </c>
      <c r="D25" s="3">
        <f>SUMIFS(Operacional!F:F,Operacional!C:C,'Summary BPL'!B25)</f>
        <v>3</v>
      </c>
      <c r="E25" s="78">
        <f t="shared" si="1"/>
        <v>0.75</v>
      </c>
    </row>
    <row r="26" spans="1:5" x14ac:dyDescent="0.25">
      <c r="A26" t="s">
        <v>26</v>
      </c>
      <c r="B26" t="s">
        <v>40</v>
      </c>
      <c r="C26" s="3">
        <f>COUNTIF(Operacional!C:C,'Summary BPL'!B26)-COUNTIFS(Operacional!C:C,'Summary BPL'!B26,Operacional!F:F,"N/A")-COUNTIFS(Operacional!C:C,'Summary BPL'!B26,Operacional!F:F,"NA - 1")-COUNTIFS(Operacional!C:C,'Summary BPL'!B26,Operacional!F:F,"NA - 0")</f>
        <v>4</v>
      </c>
      <c r="D26" s="3">
        <f>SUMIFS(Operacional!F:F,Operacional!C:C,'Summary BPL'!B26)</f>
        <v>3</v>
      </c>
      <c r="E26" s="78">
        <f t="shared" si="1"/>
        <v>0.75</v>
      </c>
    </row>
    <row r="27" spans="1:5" x14ac:dyDescent="0.25">
      <c r="A27" t="s">
        <v>26</v>
      </c>
      <c r="B27" t="s">
        <v>41</v>
      </c>
      <c r="C27" s="3">
        <f>COUNTIF(Operacional!C:C,'Summary BPL'!B27)-COUNTIFS(Operacional!C:C,'Summary BPL'!B27,Operacional!F:F,"N/A")-COUNTIFS(Operacional!C:C,'Summary BPL'!B27,Operacional!F:F,"NA - 1")-COUNTIFS(Operacional!C:C,'Summary BPL'!B27,Operacional!F:F,"NA - 0")</f>
        <v>3</v>
      </c>
      <c r="D27" s="3">
        <f>SUMIFS(Operacional!F:F,Operacional!C:C,'Summary BPL'!B27)</f>
        <v>2</v>
      </c>
      <c r="E27" s="78">
        <f t="shared" si="1"/>
        <v>0.66666666666666663</v>
      </c>
    </row>
    <row r="28" spans="1:5" x14ac:dyDescent="0.25">
      <c r="A28" t="s">
        <v>26</v>
      </c>
      <c r="B28" t="s">
        <v>47</v>
      </c>
      <c r="C28" s="3">
        <f>COUNTIF(Operacional!C:C,'Summary BPL'!B28)-COUNTIFS(Operacional!C:C,'Summary BPL'!B28,Operacional!F:F,"N/A")-COUNTIFS(Operacional!C:C,'Summary BPL'!B28,Operacional!F:F,"NA - 1")-COUNTIFS(Operacional!C:C,'Summary BPL'!B28,Operacional!F:F,"NA - 0")</f>
        <v>8</v>
      </c>
      <c r="D28" s="3">
        <f>SUMIFS(Operacional!F:F,Operacional!C:C,'Summary BPL'!B28)</f>
        <v>6</v>
      </c>
      <c r="E28" s="78">
        <f t="shared" si="1"/>
        <v>0.75</v>
      </c>
    </row>
    <row r="29" spans="1:5" x14ac:dyDescent="0.25">
      <c r="A29" t="s">
        <v>26</v>
      </c>
      <c r="B29" t="s">
        <v>637</v>
      </c>
      <c r="C29" s="3">
        <f>COUNTIF(Operacional!C:C,'Summary BPL'!B29)-COUNTIFS(Operacional!C:C,'Summary BPL'!B29,Operacional!F:F,"N/A")-COUNTIFS(Operacional!C:C,'Summary BPL'!B29,Operacional!F:F,"NA - 1")-COUNTIFS(Operacional!C:C,'Summary BPL'!B29,Operacional!F:F,"NA - 0")</f>
        <v>3</v>
      </c>
      <c r="D29" s="3">
        <f>SUMIFS(Operacional!F:F,Operacional!C:C,'Summary BPL'!B29)</f>
        <v>2</v>
      </c>
      <c r="E29" s="78">
        <f t="shared" si="1"/>
        <v>0.66666666666666663</v>
      </c>
    </row>
    <row r="30" spans="1:5" x14ac:dyDescent="0.25">
      <c r="A30" t="s">
        <v>26</v>
      </c>
      <c r="B30" t="s">
        <v>45</v>
      </c>
      <c r="C30" s="3">
        <f>COUNTIF(Operacional!C:C,'Summary BPL'!B30)-COUNTIFS(Operacional!C:C,'Summary BPL'!B30,Operacional!F:F,"N/A")-COUNTIFS(Operacional!C:C,'Summary BPL'!B30,Operacional!F:F,"NA - 1")-COUNTIFS(Operacional!C:C,'Summary BPL'!B30,Operacional!F:F,"NA - 0")</f>
        <v>4</v>
      </c>
      <c r="D30" s="3">
        <f>SUMIFS(Operacional!F:F,Operacional!C:C,'Summary BPL'!B30)</f>
        <v>4</v>
      </c>
      <c r="E30" s="78">
        <f t="shared" si="1"/>
        <v>1</v>
      </c>
    </row>
    <row r="31" spans="1:5" x14ac:dyDescent="0.25">
      <c r="A31" t="s">
        <v>26</v>
      </c>
      <c r="B31" t="s">
        <v>243</v>
      </c>
      <c r="C31" s="3">
        <f>COUNTIF(Operacional!C:C,'Summary BPL'!B31)-COUNTIFS(Operacional!C:C,'Summary BPL'!B31,Operacional!F:F,"N/A")-COUNTIFS(Operacional!C:C,'Summary BPL'!B31,Operacional!F:F,"NA - 1")-COUNTIFS(Operacional!C:C,'Summary BPL'!B31,Operacional!F:F,"NA - 0")</f>
        <v>2</v>
      </c>
      <c r="D31" s="3">
        <f>SUMIFS(Operacional!F:F,Operacional!C:C,'Summary BPL'!B31)</f>
        <v>1</v>
      </c>
      <c r="E31" s="78">
        <f t="shared" si="1"/>
        <v>0.5</v>
      </c>
    </row>
    <row r="32" spans="1:5" x14ac:dyDescent="0.25">
      <c r="A32" t="s">
        <v>26</v>
      </c>
      <c r="B32" t="s">
        <v>43</v>
      </c>
      <c r="C32" s="3">
        <f>COUNTIF(Operacional!C:C,'Summary BPL'!B32)-COUNTIFS(Operacional!C:C,'Summary BPL'!B32,Operacional!F:F,"N/A")-COUNTIFS(Operacional!C:C,'Summary BPL'!B32,Operacional!F:F,"NA - 1")-COUNTIFS(Operacional!C:C,'Summary BPL'!B32,Operacional!F:F,"NA - 0")</f>
        <v>1</v>
      </c>
      <c r="D32" s="3">
        <f>SUMIFS(Operacional!F:F,Operacional!C:C,'Summary BPL'!B32)</f>
        <v>0</v>
      </c>
      <c r="E32" s="78">
        <f t="shared" si="1"/>
        <v>0</v>
      </c>
    </row>
    <row r="33" spans="1:5" x14ac:dyDescent="0.25">
      <c r="A33" t="s">
        <v>26</v>
      </c>
      <c r="B33" t="s">
        <v>44</v>
      </c>
      <c r="C33" s="3">
        <f>COUNTIF(Operacional!C:C,'Summary BPL'!B33)-COUNTIFS(Operacional!C:C,'Summary BPL'!B33,Operacional!F:F,"N/A")-COUNTIFS(Operacional!C:C,'Summary BPL'!B33,Operacional!F:F,"NA - 1")-COUNTIFS(Operacional!C:C,'Summary BPL'!B33,Operacional!F:F,"NA - 0")</f>
        <v>0</v>
      </c>
      <c r="D33" s="3">
        <f>SUMIFS(Operacional!F:F,Operacional!C:C,'Summary BPL'!B33)</f>
        <v>0</v>
      </c>
      <c r="E33" s="78">
        <f t="shared" si="1"/>
        <v>0</v>
      </c>
    </row>
    <row r="34" spans="1:5" x14ac:dyDescent="0.25">
      <c r="A34" t="s">
        <v>26</v>
      </c>
      <c r="B34" t="s">
        <v>42</v>
      </c>
      <c r="C34" s="3">
        <f>COUNTIF(Operacional!C:C,'Summary BPL'!B34)-COUNTIFS(Operacional!C:C,'Summary BPL'!B34,Operacional!F:F,"N/A")-COUNTIFS(Operacional!C:C,'Summary BPL'!B34,Operacional!F:F,"NA - 1")-COUNTIFS(Operacional!C:C,'Summary BPL'!B34,Operacional!F:F,"NA - 0")</f>
        <v>3</v>
      </c>
      <c r="D34" s="3">
        <f>SUMIFS(Operacional!F:F,Operacional!C:C,'Summary BPL'!B34)</f>
        <v>2</v>
      </c>
      <c r="E34" s="78">
        <f t="shared" si="1"/>
        <v>0.66666666666666663</v>
      </c>
    </row>
    <row r="35" spans="1:5" x14ac:dyDescent="0.25">
      <c r="A35" t="s">
        <v>26</v>
      </c>
      <c r="B35" t="s">
        <v>38</v>
      </c>
      <c r="C35" s="3">
        <f>COUNTIF(Operacional!C:C,'Summary BPL'!B35)-COUNTIFS(Operacional!C:C,'Summary BPL'!B35,Operacional!F:F,"N/A")-COUNTIFS(Operacional!C:C,'Summary BPL'!B35,Operacional!F:F,"NA - 1")-COUNTIFS(Operacional!C:C,'Summary BPL'!B35,Operacional!F:F,"NA - 0")</f>
        <v>3</v>
      </c>
      <c r="D35" s="3">
        <f>SUMIFS(Operacional!F:F,Operacional!C:C,'Summary BPL'!B35)</f>
        <v>3</v>
      </c>
      <c r="E35" s="78">
        <f t="shared" si="1"/>
        <v>1</v>
      </c>
    </row>
    <row r="36" spans="1:5" x14ac:dyDescent="0.25">
      <c r="A36" t="s">
        <v>26</v>
      </c>
      <c r="B36" t="s">
        <v>49</v>
      </c>
      <c r="C36" s="3">
        <f>COUNTIF(Operacional!C:C,'Summary BPL'!B36)-COUNTIFS(Operacional!C:C,'Summary BPL'!B36,Operacional!F:F,"N/A")-COUNTIFS(Operacional!C:C,'Summary BPL'!B36,Operacional!F:F,"NA - 1")-COUNTIFS(Operacional!C:C,'Summary BPL'!B36,Operacional!F:F,"NA - 0")</f>
        <v>6</v>
      </c>
      <c r="D36" s="3">
        <f>SUMIFS(Operacional!F:F,Operacional!C:C,'Summary BPL'!B36)</f>
        <v>3</v>
      </c>
      <c r="E36" s="78">
        <f t="shared" si="1"/>
        <v>0.5</v>
      </c>
    </row>
    <row r="37" spans="1:5" x14ac:dyDescent="0.25">
      <c r="A37" t="s">
        <v>26</v>
      </c>
      <c r="B37" t="s">
        <v>50</v>
      </c>
      <c r="C37" s="3">
        <f>COUNTIF(Operacional!C:C,'Summary BPL'!B37)-COUNTIFS(Operacional!C:C,'Summary BPL'!B37,Operacional!F:F,"N/A")-COUNTIFS(Operacional!C:C,'Summary BPL'!B37,Operacional!F:F,"NA - 1")-COUNTIFS(Operacional!C:C,'Summary BPL'!B37,Operacional!F:F,"NA - 0")</f>
        <v>1</v>
      </c>
      <c r="D37" s="3">
        <f>SUMIFS(Operacional!F:F,Operacional!C:C,'Summary BPL'!B37)</f>
        <v>1</v>
      </c>
      <c r="E37" s="78">
        <f t="shared" si="1"/>
        <v>1</v>
      </c>
    </row>
    <row r="38" spans="1:5" x14ac:dyDescent="0.25">
      <c r="A38" t="s">
        <v>26</v>
      </c>
      <c r="B38" t="s">
        <v>46</v>
      </c>
      <c r="C38" s="3">
        <f>COUNTIF(Operacional!C:C,'Summary BPL'!B38)-COUNTIFS(Operacional!C:C,'Summary BPL'!B38,Operacional!F:F,"N/A")-COUNTIFS(Operacional!C:C,'Summary BPL'!B38,Operacional!F:F,"NA - 1")-COUNTIFS(Operacional!C:C,'Summary BPL'!B38,Operacional!F:F,"NA - 0")</f>
        <v>5</v>
      </c>
      <c r="D38" s="3">
        <f>SUMIFS(Operacional!F:F,Operacional!C:C,'Summary BPL'!B38)</f>
        <v>2</v>
      </c>
      <c r="E38" s="78">
        <f t="shared" si="1"/>
        <v>0.4</v>
      </c>
    </row>
    <row r="39" spans="1:5" x14ac:dyDescent="0.25">
      <c r="A39" t="s">
        <v>26</v>
      </c>
      <c r="B39" t="s">
        <v>48</v>
      </c>
      <c r="C39" s="3">
        <f>COUNTIF(Operacional!C:C,'Summary BPL'!B39)-COUNTIFS(Operacional!C:C,'Summary BPL'!B39,Operacional!F:F,"N/A")-COUNTIFS(Operacional!C:C,'Summary BPL'!B39,Operacional!F:F,"NA - 1")-COUNTIFS(Operacional!C:C,'Summary BPL'!B39,Operacional!F:F,"NA - 0")</f>
        <v>2</v>
      </c>
      <c r="D39" s="3">
        <f>SUMIFS(Operacional!F:F,Operacional!C:C,'Summary BPL'!B39)</f>
        <v>2</v>
      </c>
      <c r="E39" s="78">
        <f t="shared" si="1"/>
        <v>1</v>
      </c>
    </row>
    <row r="40" spans="1:5" x14ac:dyDescent="0.25">
      <c r="A40" t="s">
        <v>26</v>
      </c>
      <c r="B40" t="s">
        <v>638</v>
      </c>
      <c r="C40" s="3">
        <f>COUNTIF(Operacional!C:C,'Summary BPL'!B40)-COUNTIFS(Operacional!C:C,'Summary BPL'!B40,Operacional!F:F,"N/A")-COUNTIFS(Operacional!C:C,'Summary BPL'!B40,Operacional!F:F,"NA - 1")-COUNTIFS(Operacional!C:C,'Summary BPL'!B40,Operacional!F:F,"NA - 0")</f>
        <v>5</v>
      </c>
      <c r="D40" s="3">
        <f>SUMIFS(Operacional!F:F,Operacional!C:C,'Summary BPL'!B40)</f>
        <v>1</v>
      </c>
      <c r="E40" s="78">
        <f t="shared" si="1"/>
        <v>0.2</v>
      </c>
    </row>
    <row r="41" spans="1:5" x14ac:dyDescent="0.25">
      <c r="E41" s="78"/>
    </row>
    <row r="42" spans="1:5" x14ac:dyDescent="0.25">
      <c r="A42" t="s">
        <v>15</v>
      </c>
      <c r="B42" t="s">
        <v>654</v>
      </c>
      <c r="C42" s="3">
        <f>COUNTIF(Operacional!C:C,'Summary BPL'!B42)-COUNTIFS(Operacional!C:C,'Summary BPL'!B42,Operacional!F:F,"N/A")-COUNTIFS(Operacional!C:C,'Summary BPL'!B42,Operacional!F:F,"NA - 1")-COUNTIFS(Operacional!C:C,'Summary BPL'!B42,Operacional!F:F,"NA - 0")</f>
        <v>4</v>
      </c>
      <c r="D42" s="3">
        <f>SUMIFS(Operacional!F:F,Operacional!C:C,'Summary BPL'!B42)</f>
        <v>1</v>
      </c>
      <c r="E42" s="78">
        <f t="shared" si="1"/>
        <v>0.25</v>
      </c>
    </row>
    <row r="43" spans="1:5" x14ac:dyDescent="0.25">
      <c r="A43" t="s">
        <v>15</v>
      </c>
      <c r="B43" t="s">
        <v>29</v>
      </c>
      <c r="C43" s="3">
        <f>COUNTIF(Operacional!C:C,'Summary BPL'!B43)-COUNTIFS(Operacional!C:C,'Summary BPL'!B43,Operacional!F:F,"N/A")-COUNTIFS(Operacional!C:C,'Summary BPL'!B43,Operacional!F:F,"NA - 1")-COUNTIFS(Operacional!C:C,'Summary BPL'!B43,Operacional!F:F,"NA - 0")</f>
        <v>4</v>
      </c>
      <c r="D43" s="3">
        <f>SUMIFS(Operacional!F:F,Operacional!C:C,'Summary BPL'!B43)</f>
        <v>4</v>
      </c>
      <c r="E43" s="78">
        <f t="shared" si="1"/>
        <v>1</v>
      </c>
    </row>
    <row r="44" spans="1:5" x14ac:dyDescent="0.25">
      <c r="A44" t="s">
        <v>15</v>
      </c>
      <c r="B44" t="s">
        <v>329</v>
      </c>
      <c r="C44" s="3">
        <f>COUNTIF(Operacional!C:C,'Summary BPL'!B44)-COUNTIFS(Operacional!C:C,'Summary BPL'!B44,Operacional!F:F,"N/A")-COUNTIFS(Operacional!C:C,'Summary BPL'!B44,Operacional!F:F,"NA - 1")-COUNTIFS(Operacional!C:C,'Summary BPL'!B44,Operacional!F:F,"NA - 0")</f>
        <v>1</v>
      </c>
      <c r="D44" s="3">
        <f>SUMIFS(Operacional!F:F,Operacional!C:C,'Summary BPL'!B44)</f>
        <v>1</v>
      </c>
      <c r="E44" s="78">
        <f t="shared" si="1"/>
        <v>1</v>
      </c>
    </row>
    <row r="45" spans="1:5" x14ac:dyDescent="0.25">
      <c r="A45" t="s">
        <v>15</v>
      </c>
      <c r="B45" t="s">
        <v>249</v>
      </c>
      <c r="C45" s="3">
        <f>COUNTIF(Operacional!C:C,'Summary BPL'!B45)-COUNTIFS(Operacional!C:C,'Summary BPL'!B45,Operacional!F:F,"N/A")-COUNTIFS(Operacional!C:C,'Summary BPL'!B45,Operacional!F:F,"NA - 1")-COUNTIFS(Operacional!C:C,'Summary BPL'!B45,Operacional!F:F,"NA - 0")</f>
        <v>2</v>
      </c>
      <c r="D45" s="3">
        <f>SUMIFS(Operacional!F:F,Operacional!C:C,'Summary BPL'!B45)</f>
        <v>0</v>
      </c>
      <c r="E45" s="78">
        <f t="shared" si="1"/>
        <v>0</v>
      </c>
    </row>
    <row r="46" spans="1:5" x14ac:dyDescent="0.25">
      <c r="A46" t="s">
        <v>15</v>
      </c>
      <c r="B46" t="s">
        <v>253</v>
      </c>
      <c r="C46" s="3">
        <f>COUNTIF(Operacional!C:C,'Summary BPL'!B46)-COUNTIFS(Operacional!C:C,'Summary BPL'!B46,Operacional!F:F,"N/A")-COUNTIFS(Operacional!C:C,'Summary BPL'!B46,Operacional!F:F,"NA - 1")-COUNTIFS(Operacional!C:C,'Summary BPL'!B46,Operacional!F:F,"NA - 0")</f>
        <v>4</v>
      </c>
      <c r="D46" s="3">
        <f>SUMIFS(Operacional!F:F,Operacional!C:C,'Summary BPL'!B46)</f>
        <v>0</v>
      </c>
      <c r="E46" s="78">
        <f t="shared" si="1"/>
        <v>0</v>
      </c>
    </row>
    <row r="47" spans="1:5" x14ac:dyDescent="0.25">
      <c r="A47" t="s">
        <v>15</v>
      </c>
      <c r="B47" t="s">
        <v>255</v>
      </c>
      <c r="C47" s="3">
        <f>COUNTIF(Operacional!C:C,'Summary BPL'!B47)-COUNTIFS(Operacional!C:C,'Summary BPL'!B47,Operacional!F:F,"N/A")-COUNTIFS(Operacional!C:C,'Summary BPL'!B47,Operacional!F:F,"NA - 1")-COUNTIFS(Operacional!C:C,'Summary BPL'!B47,Operacional!F:F,"NA - 0")</f>
        <v>2</v>
      </c>
      <c r="D47" s="3">
        <f>SUMIFS(Operacional!F:F,Operacional!C:C,'Summary BPL'!B47)</f>
        <v>0</v>
      </c>
      <c r="E47" s="78">
        <f t="shared" si="1"/>
        <v>0</v>
      </c>
    </row>
    <row r="48" spans="1:5" x14ac:dyDescent="0.25">
      <c r="A48" t="s">
        <v>15</v>
      </c>
      <c r="B48" t="s">
        <v>256</v>
      </c>
      <c r="C48" s="3">
        <f>COUNTIF(Operacional!C:C,'Summary BPL'!B48)-COUNTIFS(Operacional!C:C,'Summary BPL'!B48,Operacional!F:F,"N/A")-COUNTIFS(Operacional!C:C,'Summary BPL'!B48,Operacional!F:F,"NA - 1")-COUNTIFS(Operacional!C:C,'Summary BPL'!B48,Operacional!F:F,"NA - 0")</f>
        <v>2</v>
      </c>
      <c r="D48" s="3">
        <f>SUMIFS(Operacional!F:F,Operacional!C:C,'Summary BPL'!B48)</f>
        <v>0</v>
      </c>
      <c r="E48" s="78">
        <f t="shared" si="1"/>
        <v>0</v>
      </c>
    </row>
    <row r="49" spans="1:5" x14ac:dyDescent="0.25">
      <c r="A49" t="s">
        <v>15</v>
      </c>
      <c r="B49" t="s">
        <v>509</v>
      </c>
      <c r="C49" s="3">
        <f>COUNTIF(Operacional!C:C,'Summary BPL'!B49)-COUNTIFS(Operacional!C:C,'Summary BPL'!B49,Operacional!F:F,"N/A")-COUNTIFS(Operacional!C:C,'Summary BPL'!B49,Operacional!F:F,"NA - 1")-COUNTIFS(Operacional!C:C,'Summary BPL'!B49,Operacional!F:F,"NA - 0")</f>
        <v>4</v>
      </c>
      <c r="D49" s="3">
        <f>SUMIFS(Operacional!F:F,Operacional!C:C,'Summary BPL'!B49)</f>
        <v>1</v>
      </c>
      <c r="E49" s="78">
        <f t="shared" si="1"/>
        <v>0.25</v>
      </c>
    </row>
    <row r="50" spans="1:5" x14ac:dyDescent="0.25">
      <c r="A50" t="s">
        <v>15</v>
      </c>
      <c r="B50" t="s">
        <v>265</v>
      </c>
      <c r="C50" s="3">
        <f>COUNTIF(Operacional!C:C,'Summary BPL'!B50)-COUNTIFS(Operacional!C:C,'Summary BPL'!B50,Operacional!F:F,"N/A")-COUNTIFS(Operacional!C:C,'Summary BPL'!B50,Operacional!F:F,"NA - 1")-COUNTIFS(Operacional!C:C,'Summary BPL'!B50,Operacional!F:F,"NA - 0")</f>
        <v>1</v>
      </c>
      <c r="D50" s="3">
        <f>SUMIFS(Operacional!F:F,Operacional!C:C,'Summary BPL'!B50)</f>
        <v>0</v>
      </c>
      <c r="E50" s="78">
        <f t="shared" si="1"/>
        <v>0</v>
      </c>
    </row>
    <row r="51" spans="1:5" x14ac:dyDescent="0.25">
      <c r="E51" s="78"/>
    </row>
    <row r="52" spans="1:5" x14ac:dyDescent="0.25">
      <c r="A52" t="s">
        <v>16</v>
      </c>
      <c r="B52" t="s">
        <v>27</v>
      </c>
      <c r="C52" s="3">
        <f>COUNTIF(Operacional!C:C,'Summary BPL'!B52)-COUNTIFS(Operacional!C:C,'Summary BPL'!B52,Operacional!F:F,"N/A")-COUNTIFS(Operacional!C:C,'Summary BPL'!B52,Operacional!F:F,"NA - 1")-COUNTIFS(Operacional!C:C,'Summary BPL'!B52,Operacional!F:F,"NA - 0")</f>
        <v>4</v>
      </c>
      <c r="D52" s="3">
        <f>SUMIFS(Operacional!F:F,Operacional!C:C,'Summary BPL'!B52)</f>
        <v>3</v>
      </c>
      <c r="E52" s="78">
        <f t="shared" si="1"/>
        <v>0.75</v>
      </c>
    </row>
    <row r="53" spans="1:5" x14ac:dyDescent="0.25">
      <c r="E53" s="78"/>
    </row>
    <row r="54" spans="1:5" x14ac:dyDescent="0.25">
      <c r="A54" t="s">
        <v>378</v>
      </c>
      <c r="B54" t="s">
        <v>657</v>
      </c>
      <c r="C54" s="3">
        <f>COUNTIF(Estandarización!C:C,'Summary BPL'!B54)-COUNTIFS(Estandarización!C:C,'Summary BPL'!B54,Estandarización!F:F,"N/A")-COUNTIFS(Estandarización!C:C,'Summary BPL'!B54,Estandarización!F:F,"NA - 1")-COUNTIFS(Estandarización!C:C,'Summary BPL'!B54,Estandarización!F:F,"NA - 0")</f>
        <v>2</v>
      </c>
      <c r="D54" s="3">
        <f>SUMIFS(Estandarización!F:F,Estandarización!C:C,'Summary BPL'!B54)</f>
        <v>2</v>
      </c>
      <c r="E54" s="78">
        <f t="shared" si="1"/>
        <v>1</v>
      </c>
    </row>
    <row r="55" spans="1:5" x14ac:dyDescent="0.25">
      <c r="A55" t="s">
        <v>378</v>
      </c>
      <c r="B55" t="s">
        <v>284</v>
      </c>
      <c r="C55" s="3">
        <f>COUNTIF(Estandarización!C:C,'Summary BPL'!B55)-COUNTIFS(Estandarización!C:C,'Summary BPL'!B55,Estandarización!F:F,"N/A")-COUNTIFS(Estandarización!C:C,'Summary BPL'!B55,Estandarización!F:F,"NA - 1")-COUNTIFS(Estandarización!C:C,'Summary BPL'!B55,Estandarización!F:F,"NA - 0")</f>
        <v>1</v>
      </c>
      <c r="D55" s="3">
        <f>SUMIFS(Estandarización!F:F,Estandarización!C:C,'Summary BPL'!B55)</f>
        <v>1</v>
      </c>
      <c r="E55" s="78">
        <f t="shared" si="1"/>
        <v>1</v>
      </c>
    </row>
    <row r="56" spans="1:5" x14ac:dyDescent="0.25">
      <c r="A56" t="s">
        <v>378</v>
      </c>
      <c r="B56" t="s">
        <v>273</v>
      </c>
      <c r="C56" s="3">
        <f>COUNTIF(Estandarización!C:C,'Summary BPL'!B56)-COUNTIFS(Estandarización!C:C,'Summary BPL'!B56,Estandarización!F:F,"N/A")-COUNTIFS(Estandarización!C:C,'Summary BPL'!B56,Estandarización!F:F,"NA - 1")-COUNTIFS(Estandarización!C:C,'Summary BPL'!B56,Estandarización!F:F,"NA - 0")</f>
        <v>1</v>
      </c>
      <c r="D56" s="3">
        <f>SUMIFS(Estandarización!F:F,Estandarización!C:C,'Summary BPL'!B56)</f>
        <v>1</v>
      </c>
      <c r="E56" s="78">
        <f t="shared" si="1"/>
        <v>1</v>
      </c>
    </row>
    <row r="57" spans="1:5" x14ac:dyDescent="0.25">
      <c r="A57" t="s">
        <v>378</v>
      </c>
      <c r="B57" t="s">
        <v>510</v>
      </c>
      <c r="C57" s="3">
        <f>COUNTIF(Estandarización!C:C,'Summary BPL'!B57)-COUNTIFS(Estandarización!C:C,'Summary BPL'!B57,Estandarización!F:F,"N/A")-COUNTIFS(Estandarización!C:C,'Summary BPL'!B57,Estandarización!F:F,"NA - 1")-COUNTIFS(Estandarización!C:C,'Summary BPL'!B57,Estandarización!F:F,"NA - 0")</f>
        <v>2</v>
      </c>
      <c r="D57" s="3">
        <f>SUMIFS(Estandarización!F:F,Estandarización!C:C,'Summary BPL'!B57)</f>
        <v>1</v>
      </c>
      <c r="E57" s="78">
        <f t="shared" si="1"/>
        <v>0.5</v>
      </c>
    </row>
    <row r="58" spans="1:5" x14ac:dyDescent="0.25">
      <c r="A58" t="s">
        <v>378</v>
      </c>
      <c r="B58" t="s">
        <v>511</v>
      </c>
      <c r="C58" s="3">
        <f>COUNTIF(Estandarización!C:C,'Summary BPL'!B58)-COUNTIFS(Estandarización!C:C,'Summary BPL'!B58,Estandarización!F:F,"N/A")-COUNTIFS(Estandarización!C:C,'Summary BPL'!B58,Estandarización!F:F,"NA - 1")-COUNTIFS(Estandarización!C:C,'Summary BPL'!B58,Estandarización!F:F,"NA - 0")</f>
        <v>4</v>
      </c>
      <c r="D58" s="3">
        <f>SUMIFS(Estandarización!F:F,Estandarización!C:C,'Summary BPL'!B58)</f>
        <v>4</v>
      </c>
      <c r="E58" s="78">
        <f t="shared" si="1"/>
        <v>1</v>
      </c>
    </row>
    <row r="59" spans="1:5" x14ac:dyDescent="0.25">
      <c r="A59" t="s">
        <v>378</v>
      </c>
      <c r="B59" t="s">
        <v>274</v>
      </c>
      <c r="C59" s="3">
        <f>COUNTIF(Estandarización!C:C,'Summary BPL'!B59)-COUNTIFS(Estandarización!C:C,'Summary BPL'!B59,Estandarización!F:F,"N/A")-COUNTIFS(Estandarización!C:C,'Summary BPL'!B59,Estandarización!F:F,"NA - 1")-COUNTIFS(Estandarización!C:C,'Summary BPL'!B59,Estandarización!F:F,"NA - 0")</f>
        <v>3</v>
      </c>
      <c r="D59" s="3">
        <f>SUMIFS(Estandarización!F:F,Estandarización!C:C,'Summary BPL'!B59)</f>
        <v>3</v>
      </c>
      <c r="E59" s="78">
        <f t="shared" si="1"/>
        <v>1</v>
      </c>
    </row>
    <row r="60" spans="1:5" x14ac:dyDescent="0.25">
      <c r="A60" t="s">
        <v>378</v>
      </c>
      <c r="B60" t="s">
        <v>287</v>
      </c>
      <c r="C60" s="3">
        <f>COUNTIF(Estandarización!C:C,'Summary BPL'!B60)-COUNTIFS(Estandarización!C:C,'Summary BPL'!B60,Estandarización!F:F,"N/A")-COUNTIFS(Estandarización!C:C,'Summary BPL'!B60,Estandarización!F:F,"NA - 1")-COUNTIFS(Estandarización!C:C,'Summary BPL'!B60,Estandarización!F:F,"NA - 0")</f>
        <v>3</v>
      </c>
      <c r="D60" s="3">
        <f>SUMIFS(Estandarización!F:F,Estandarización!C:C,'Summary BPL'!B60)</f>
        <v>3</v>
      </c>
      <c r="E60" s="78">
        <f t="shared" si="1"/>
        <v>1</v>
      </c>
    </row>
    <row r="61" spans="1:5" x14ac:dyDescent="0.25">
      <c r="A61" t="s">
        <v>378</v>
      </c>
      <c r="B61" t="s">
        <v>512</v>
      </c>
      <c r="C61" s="3">
        <f>COUNTIF(Estandarización!C:C,'Summary BPL'!B61)-COUNTIFS(Estandarización!C:C,'Summary BPL'!B61,Estandarización!F:F,"N/A")-COUNTIFS(Estandarización!C:C,'Summary BPL'!B61,Estandarización!F:F,"NA - 1")-COUNTIFS(Estandarización!C:C,'Summary BPL'!B61,Estandarización!F:F,"NA - 0")</f>
        <v>1</v>
      </c>
      <c r="D61" s="3">
        <f>SUMIFS(Estandarización!F:F,Estandarización!C:C,'Summary BPL'!B61)</f>
        <v>1</v>
      </c>
      <c r="E61" s="78">
        <f t="shared" si="1"/>
        <v>1</v>
      </c>
    </row>
    <row r="62" spans="1:5" x14ac:dyDescent="0.25">
      <c r="A62" t="s">
        <v>378</v>
      </c>
      <c r="B62" t="s">
        <v>276</v>
      </c>
      <c r="C62" s="3">
        <f>COUNTIF(Estandarización!C:C,'Summary BPL'!B62)-COUNTIFS(Estandarización!C:C,'Summary BPL'!B62,Estandarización!F:F,"N/A")-COUNTIFS(Estandarización!C:C,'Summary BPL'!B62,Estandarización!F:F,"NA - 1")-COUNTIFS(Estandarización!C:C,'Summary BPL'!B62,Estandarización!F:F,"NA - 0")</f>
        <v>2</v>
      </c>
      <c r="D62" s="3">
        <f>SUMIFS(Estandarización!F:F,Estandarización!C:C,'Summary BPL'!B62)</f>
        <v>2</v>
      </c>
      <c r="E62" s="78">
        <f t="shared" si="1"/>
        <v>1</v>
      </c>
    </row>
    <row r="63" spans="1:5" x14ac:dyDescent="0.25">
      <c r="A63" t="s">
        <v>378</v>
      </c>
      <c r="B63" t="s">
        <v>275</v>
      </c>
      <c r="C63" s="3">
        <f>COUNTIF(Estandarización!C:C,'Summary BPL'!B63)-COUNTIFS(Estandarización!C:C,'Summary BPL'!B63,Estandarización!F:F,"N/A")-COUNTIFS(Estandarización!C:C,'Summary BPL'!B63,Estandarización!F:F,"NA - 1")-COUNTIFS(Estandarización!C:C,'Summary BPL'!B63,Estandarización!F:F,"NA - 0")</f>
        <v>3</v>
      </c>
      <c r="D63" s="3">
        <f>SUMIFS(Estandarización!F:F,Estandarización!C:C,'Summary BPL'!B63)</f>
        <v>3</v>
      </c>
      <c r="E63" s="78">
        <f t="shared" si="1"/>
        <v>1</v>
      </c>
    </row>
    <row r="64" spans="1:5" x14ac:dyDescent="0.25">
      <c r="A64" t="s">
        <v>378</v>
      </c>
      <c r="B64" t="s">
        <v>277</v>
      </c>
      <c r="C64" s="3">
        <f>COUNTIF(Estandarización!C:C,'Summary BPL'!B64)-COUNTIFS(Estandarización!C:C,'Summary BPL'!B64,Estandarización!F:F,"N/A")-COUNTIFS(Estandarización!C:C,'Summary BPL'!B64,Estandarización!F:F,"NA - 1")-COUNTIFS(Estandarización!C:C,'Summary BPL'!B64,Estandarización!F:F,"NA - 0")</f>
        <v>1</v>
      </c>
      <c r="D64" s="3">
        <f>SUMIFS(Estandarización!F:F,Estandarización!C:C,'Summary BPL'!B64)</f>
        <v>1</v>
      </c>
      <c r="E64" s="78">
        <f t="shared" si="1"/>
        <v>1</v>
      </c>
    </row>
    <row r="65" spans="1:5" x14ac:dyDescent="0.25">
      <c r="A65" t="s">
        <v>378</v>
      </c>
      <c r="B65" t="s">
        <v>278</v>
      </c>
      <c r="C65" s="3">
        <f>COUNTIF(Estandarización!C:C,'Summary BPL'!B65)-COUNTIFS(Estandarización!C:C,'Summary BPL'!B65,Estandarización!F:F,"N/A")-COUNTIFS(Estandarización!C:C,'Summary BPL'!B65,Estandarización!F:F,"NA - 1")-COUNTIFS(Estandarización!C:C,'Summary BPL'!B65,Estandarización!F:F,"NA - 0")</f>
        <v>2</v>
      </c>
      <c r="D65" s="3">
        <f>SUMIFS(Estandarización!F:F,Estandarización!C:C,'Summary BPL'!B65)</f>
        <v>2</v>
      </c>
      <c r="E65" s="78">
        <f t="shared" si="1"/>
        <v>1</v>
      </c>
    </row>
    <row r="66" spans="1:5" x14ac:dyDescent="0.25">
      <c r="A66" t="s">
        <v>378</v>
      </c>
      <c r="B66" t="s">
        <v>280</v>
      </c>
      <c r="C66" s="3">
        <f>COUNTIF(Estandarización!C:C,'Summary BPL'!B66)-COUNTIFS(Estandarización!C:C,'Summary BPL'!B66,Estandarización!F:F,"N/A")-COUNTIFS(Estandarización!C:C,'Summary BPL'!B66,Estandarización!F:F,"NA - 1")-COUNTIFS(Estandarización!C:C,'Summary BPL'!B66,Estandarización!F:F,"NA - 0")</f>
        <v>4</v>
      </c>
      <c r="D66" s="3">
        <f>SUMIFS(Estandarización!F:F,Estandarización!C:C,'Summary BPL'!B66)</f>
        <v>4</v>
      </c>
      <c r="E66" s="78">
        <f t="shared" si="1"/>
        <v>1</v>
      </c>
    </row>
    <row r="67" spans="1:5" x14ac:dyDescent="0.25">
      <c r="E67" s="78"/>
    </row>
    <row r="68" spans="1:5" x14ac:dyDescent="0.25">
      <c r="A68" t="s">
        <v>386</v>
      </c>
      <c r="B68" t="s">
        <v>413</v>
      </c>
      <c r="C68" s="3">
        <f>COUNTIF(Estandarización!C:C,'Summary BPL'!B68)-COUNTIFS(Estandarización!C:C,'Summary BPL'!B68,Estandarización!F:F,"N/A")-COUNTIFS(Estandarización!C:C,'Summary BPL'!B68,Estandarización!F:F,"NA - 1")-COUNTIFS(Estandarización!C:C,'Summary BPL'!B68,Estandarización!F:F,"NA - 0")</f>
        <v>1</v>
      </c>
      <c r="D68" s="3">
        <f>SUMIFS(Estandarización!F:F,Estandarización!C:C,'Summary BPL'!B68)</f>
        <v>1</v>
      </c>
      <c r="E68" s="78">
        <f t="shared" si="1"/>
        <v>1</v>
      </c>
    </row>
    <row r="69" spans="1:5" x14ac:dyDescent="0.25">
      <c r="A69" t="s">
        <v>386</v>
      </c>
      <c r="B69" t="s">
        <v>285</v>
      </c>
      <c r="C69" s="3">
        <f>COUNTIF(Estandarización!C:C,'Summary BPL'!B69)-COUNTIFS(Estandarización!C:C,'Summary BPL'!B69,Estandarización!F:F,"N/A")-COUNTIFS(Estandarización!C:C,'Summary BPL'!B69,Estandarización!F:F,"NA - 1")-COUNTIFS(Estandarización!C:C,'Summary BPL'!B69,Estandarización!F:F,"NA - 0")</f>
        <v>4</v>
      </c>
      <c r="D69" s="3">
        <f>SUMIFS(Estandarización!F:F,Estandarización!C:C,'Summary BPL'!B69)</f>
        <v>4</v>
      </c>
      <c r="E69" s="78">
        <f t="shared" si="1"/>
        <v>1</v>
      </c>
    </row>
    <row r="70" spans="1:5" x14ac:dyDescent="0.25">
      <c r="A70" t="s">
        <v>386</v>
      </c>
      <c r="B70" t="s">
        <v>279</v>
      </c>
      <c r="C70" s="3">
        <f>COUNTIF(Estandarización!C:C,'Summary BPL'!B70)-COUNTIFS(Estandarización!C:C,'Summary BPL'!B70,Estandarización!F:F,"N/A")-COUNTIFS(Estandarización!C:C,'Summary BPL'!B70,Estandarización!F:F,"NA - 1")-COUNTIFS(Estandarización!C:C,'Summary BPL'!B70,Estandarización!F:F,"NA - 0")</f>
        <v>2</v>
      </c>
      <c r="D70" s="3">
        <f>SUMIFS(Estandarización!F:F,Estandarización!C:C,'Summary BPL'!B70)</f>
        <v>1</v>
      </c>
      <c r="E70" s="78">
        <f t="shared" si="1"/>
        <v>0.5</v>
      </c>
    </row>
    <row r="71" spans="1:5" x14ac:dyDescent="0.25">
      <c r="A71" t="s">
        <v>386</v>
      </c>
      <c r="B71" t="s">
        <v>281</v>
      </c>
      <c r="C71" s="3">
        <f>COUNTIF(Estandarización!C:C,'Summary BPL'!B71)-COUNTIFS(Estandarización!C:C,'Summary BPL'!B71,Estandarización!F:F,"N/A")-COUNTIFS(Estandarización!C:C,'Summary BPL'!B71,Estandarización!F:F,"NA - 1")-COUNTIFS(Estandarización!C:C,'Summary BPL'!B71,Estandarización!F:F,"NA - 0")</f>
        <v>0</v>
      </c>
      <c r="D71" s="3">
        <f>SUMIFS(Estandarización!F:F,Estandarización!C:C,'Summary BPL'!B71)</f>
        <v>0</v>
      </c>
      <c r="E71" s="78">
        <f t="shared" si="1"/>
        <v>0</v>
      </c>
    </row>
    <row r="72" spans="1:5" x14ac:dyDescent="0.25">
      <c r="A72" t="s">
        <v>386</v>
      </c>
      <c r="B72" t="s">
        <v>280</v>
      </c>
      <c r="C72" s="3">
        <f>COUNTIF(Estandarización!C:C,'Summary BPL'!B72)-COUNTIFS(Estandarización!C:C,'Summary BPL'!B72,Estandarización!F:F,"N/A")-COUNTIFS(Estandarización!C:C,'Summary BPL'!B72,Estandarización!F:F,"NA - 1")-COUNTIFS(Estandarización!C:C,'Summary BPL'!B72,Estandarización!F:F,"NA - 0")</f>
        <v>4</v>
      </c>
      <c r="D72" s="3">
        <f>SUMIFS(Estandarización!F:F,Estandarización!C:C,'Summary BPL'!B72)</f>
        <v>4</v>
      </c>
      <c r="E72" s="78">
        <f t="shared" si="1"/>
        <v>1</v>
      </c>
    </row>
    <row r="73" spans="1:5" x14ac:dyDescent="0.25">
      <c r="A73" t="s">
        <v>386</v>
      </c>
      <c r="B73" t="s">
        <v>286</v>
      </c>
      <c r="C73" s="3">
        <f>COUNTIF(Estandarización!C:C,'Summary BPL'!B73)-COUNTIFS(Estandarización!C:C,'Summary BPL'!B73,Estandarización!F:F,"N/A")-COUNTIFS(Estandarización!C:C,'Summary BPL'!B73,Estandarización!F:F,"NA - 1")-COUNTIFS(Estandarización!C:C,'Summary BPL'!B73,Estandarización!F:F,"NA - 0")</f>
        <v>1</v>
      </c>
      <c r="D73" s="3">
        <f>SUMIFS(Estandarización!F:F,Estandarización!C:C,'Summary BPL'!B73)</f>
        <v>1</v>
      </c>
      <c r="E73" s="78">
        <f t="shared" si="1"/>
        <v>1</v>
      </c>
    </row>
    <row r="74" spans="1:5" x14ac:dyDescent="0.25">
      <c r="A74" t="s">
        <v>386</v>
      </c>
      <c r="B74" t="s">
        <v>30</v>
      </c>
      <c r="C74" s="3">
        <f>COUNTIF(Estandarización!C:C,'Summary BPL'!B74)-COUNTIFS(Estandarización!C:C,'Summary BPL'!B74,Estandarización!F:F,"N/A")-COUNTIFS(Estandarización!C:C,'Summary BPL'!B74,Estandarización!F:F,"NA - 1")-COUNTIFS(Estandarización!C:C,'Summary BPL'!B74,Estandarización!F:F,"NA - 0")</f>
        <v>13</v>
      </c>
      <c r="D74" s="3">
        <f>SUMIFS(Estandarización!F:F,Estandarización!C:C,'Summary BPL'!B74)</f>
        <v>12</v>
      </c>
      <c r="E74" s="78">
        <f t="shared" si="1"/>
        <v>0.92307692307692313</v>
      </c>
    </row>
    <row r="75" spans="1:5" x14ac:dyDescent="0.25">
      <c r="E75" s="78"/>
    </row>
    <row r="76" spans="1:5" x14ac:dyDescent="0.25">
      <c r="A76" t="s">
        <v>17</v>
      </c>
      <c r="B76" t="s">
        <v>701</v>
      </c>
      <c r="C76" s="3">
        <f>COUNTIF(Estandarización!C:C,'Summary BPL'!B76)-COUNTIFS(Estandarización!C:C,'Summary BPL'!B76,Estandarización!F:F,"N/A")-COUNTIFS(Estandarización!C:C,'Summary BPL'!B76,Estandarización!F:F,"NA - 1")-COUNTIFS(Estandarización!C:C,'Summary BPL'!B76,Estandarización!F:F,"NA - 0")</f>
        <v>3</v>
      </c>
      <c r="D76" s="3">
        <f>SUMIFS(Estandarización!F:F,Estandarización!C:C,'Summary BPL'!B76)</f>
        <v>3</v>
      </c>
      <c r="E76" s="78">
        <f t="shared" si="1"/>
        <v>1</v>
      </c>
    </row>
    <row r="77" spans="1:5" x14ac:dyDescent="0.25">
      <c r="A77" t="s">
        <v>17</v>
      </c>
      <c r="B77" t="s">
        <v>702</v>
      </c>
      <c r="C77" s="3">
        <f>COUNTIF(Estandarización!C:C,'Summary BPL'!B77)-COUNTIFS(Estandarización!C:C,'Summary BPL'!B77,Estandarización!F:F,"N/A")-COUNTIFS(Estandarización!C:C,'Summary BPL'!B77,Estandarización!F:F,"NA - 1")-COUNTIFS(Estandarización!C:C,'Summary BPL'!B77,Estandarización!F:F,"NA - 0")</f>
        <v>8</v>
      </c>
      <c r="D77" s="3">
        <f>SUMIFS(Estandarización!F:F,Estandarización!C:C,'Summary BPL'!B77)</f>
        <v>3</v>
      </c>
      <c r="E77" s="78">
        <f t="shared" si="1"/>
        <v>0.375</v>
      </c>
    </row>
    <row r="78" spans="1:5" x14ac:dyDescent="0.25">
      <c r="A78" t="s">
        <v>17</v>
      </c>
      <c r="B78" t="s">
        <v>703</v>
      </c>
      <c r="C78" s="3">
        <f>COUNTIF(Estandarización!C:C,'Summary BPL'!B78)-COUNTIFS(Estandarización!C:C,'Summary BPL'!B78,Estandarización!F:F,"N/A")-COUNTIFS(Estandarización!C:C,'Summary BPL'!B78,Estandarización!F:F,"NA - 1")-COUNTIFS(Estandarización!C:C,'Summary BPL'!B78,Estandarización!F:F,"NA - 0")</f>
        <v>7</v>
      </c>
      <c r="D78" s="3">
        <f>SUMIFS(Estandarización!F:F,Estandarización!C:C,'Summary BPL'!B78)</f>
        <v>0</v>
      </c>
      <c r="E78" s="78">
        <f t="shared" si="1"/>
        <v>0</v>
      </c>
    </row>
    <row r="79" spans="1:5" x14ac:dyDescent="0.25">
      <c r="A79" t="s">
        <v>17</v>
      </c>
      <c r="B79" t="s">
        <v>272</v>
      </c>
      <c r="C79" s="3">
        <f>COUNTIF(Estandarización!C:C,'Summary BPL'!B79)-COUNTIFS(Estandarización!C:C,'Summary BPL'!B79,Estandarización!F:F,"N/A")-COUNTIFS(Estandarización!C:C,'Summary BPL'!B79,Estandarización!F:F,"NA - 1")-COUNTIFS(Estandarización!C:C,'Summary BPL'!B79,Estandarización!F:F,"NA - 0")</f>
        <v>3</v>
      </c>
      <c r="D79" s="3">
        <f>SUMIFS(Estandarización!F:F,Estandarización!C:C,'Summary BPL'!B79)</f>
        <v>2</v>
      </c>
      <c r="E79" s="78">
        <f t="shared" si="1"/>
        <v>0.66666666666666663</v>
      </c>
    </row>
    <row r="80" spans="1:5" x14ac:dyDescent="0.25">
      <c r="A80" t="s">
        <v>17</v>
      </c>
      <c r="B80" t="s">
        <v>282</v>
      </c>
      <c r="C80" s="3">
        <f>COUNTIF(Estandarización!C:C,'Summary BPL'!B80)-COUNTIFS(Estandarización!C:C,'Summary BPL'!B80,Estandarización!F:F,"N/A")-COUNTIFS(Estandarización!C:C,'Summary BPL'!B80,Estandarización!F:F,"NA - 1")-COUNTIFS(Estandarización!C:C,'Summary BPL'!B80,Estandarización!F:F,"NA - 0")</f>
        <v>2</v>
      </c>
      <c r="D80" s="3">
        <f>SUMIFS(Estandarización!F:F,Estandarización!C:C,'Summary BPL'!B80)</f>
        <v>1</v>
      </c>
      <c r="E80" s="78">
        <f t="shared" si="1"/>
        <v>0.5</v>
      </c>
    </row>
    <row r="81" spans="1:5" x14ac:dyDescent="0.25">
      <c r="A81" t="s">
        <v>17</v>
      </c>
      <c r="B81" t="s">
        <v>283</v>
      </c>
      <c r="C81" s="3">
        <f>COUNTIF(Estandarización!C:C,'Summary BPL'!B81)-COUNTIFS(Estandarización!C:C,'Summary BPL'!B81,Estandarización!F:F,"N/A")-COUNTIFS(Estandarización!C:C,'Summary BPL'!B81,Estandarización!F:F,"NA - 1")-COUNTIFS(Estandarización!C:C,'Summary BPL'!B81,Estandarización!F:F,"NA - 0")</f>
        <v>3</v>
      </c>
      <c r="D81" s="3">
        <f>SUMIFS(Estandarización!F:F,Estandarización!C:C,'Summary BPL'!B81)</f>
        <v>3</v>
      </c>
      <c r="E81" s="78">
        <f t="shared" si="1"/>
        <v>1</v>
      </c>
    </row>
    <row r="82" spans="1:5" x14ac:dyDescent="0.25">
      <c r="A82" t="s">
        <v>17</v>
      </c>
      <c r="B82" t="s">
        <v>513</v>
      </c>
      <c r="C82" s="3">
        <f>COUNTIF(Estandarización!C:C,'Summary BPL'!B82)-COUNTIFS(Estandarización!C:C,'Summary BPL'!B82,Estandarización!F:F,"N/A")-COUNTIFS(Estandarización!C:C,'Summary BPL'!B82,Estandarización!F:F,"NA - 1")-COUNTIFS(Estandarización!C:C,'Summary BPL'!B82,Estandarización!F:F,"NA - 0")</f>
        <v>1</v>
      </c>
      <c r="D82" s="3">
        <f>SUMIFS(Estandarización!F:F,Estandarización!C:C,'Summary BPL'!B82)</f>
        <v>0</v>
      </c>
      <c r="E82" s="78">
        <f t="shared" si="1"/>
        <v>0</v>
      </c>
    </row>
    <row r="83" spans="1:5" x14ac:dyDescent="0.25">
      <c r="E83" s="78"/>
    </row>
    <row r="84" spans="1:5" x14ac:dyDescent="0.25">
      <c r="A84" t="s">
        <v>410</v>
      </c>
      <c r="B84" t="s">
        <v>492</v>
      </c>
      <c r="C84" s="3">
        <f>COUNTIF(Estandarización!C:C,'Summary BPL'!B84)-COUNTIFS(Estandarización!C:C,'Summary BPL'!B84,Estandarización!F:F,"N/A")-COUNTIFS(Estandarización!C:C,'Summary BPL'!B84,Estandarización!F:F,"NA - 1")-COUNTIFS(Estandarización!C:C,'Summary BPL'!B84,Estandarización!F:F,"NA - 0")</f>
        <v>0</v>
      </c>
      <c r="D84" s="3">
        <f>SUMIFS(Estandarización!F:F,Estandarización!C:C,'Summary BPL'!B84)</f>
        <v>0</v>
      </c>
      <c r="E84" s="78">
        <f t="shared" si="1"/>
        <v>0</v>
      </c>
    </row>
    <row r="85" spans="1:5" x14ac:dyDescent="0.25">
      <c r="A85" t="s">
        <v>410</v>
      </c>
      <c r="B85" t="s">
        <v>495</v>
      </c>
      <c r="C85" s="3">
        <f>COUNTIF(Estandarización!C:C,'Summary BPL'!B85)-COUNTIFS(Estandarización!C:C,'Summary BPL'!B85,Estandarización!F:F,"N/A")-COUNTIFS(Estandarización!C:C,'Summary BPL'!B85,Estandarización!F:F,"NA - 1")-COUNTIFS(Estandarización!C:C,'Summary BPL'!B85,Estandarización!F:F,"NA - 0")</f>
        <v>3</v>
      </c>
      <c r="D85" s="3">
        <f>SUMIFS(Estandarización!F:F,Estandarización!C:C,'Summary BPL'!B85)</f>
        <v>0</v>
      </c>
      <c r="E85" s="78">
        <f t="shared" ref="E85:E103" si="2">+IFERROR(D85/C85,0)</f>
        <v>0</v>
      </c>
    </row>
    <row r="86" spans="1:5" x14ac:dyDescent="0.25">
      <c r="A86" t="s">
        <v>410</v>
      </c>
      <c r="B86" t="s">
        <v>288</v>
      </c>
      <c r="C86" s="3">
        <f>COUNTIF(Estandarización!C:C,'Summary BPL'!B86)-COUNTIFS(Estandarización!C:C,'Summary BPL'!B86,Estandarización!F:F,"N/A")-COUNTIFS(Estandarización!C:C,'Summary BPL'!B86,Estandarización!F:F,"NA - 1")-COUNTIFS(Estandarización!C:C,'Summary BPL'!B86,Estandarización!F:F,"NA - 0")</f>
        <v>2</v>
      </c>
      <c r="D86" s="3">
        <f>SUMIFS(Estandarización!F:F,Estandarización!C:C,'Summary BPL'!B86)</f>
        <v>1</v>
      </c>
      <c r="E86" s="78">
        <f t="shared" si="2"/>
        <v>0.5</v>
      </c>
    </row>
    <row r="87" spans="1:5" x14ac:dyDescent="0.25">
      <c r="A87" t="s">
        <v>410</v>
      </c>
      <c r="B87" t="s">
        <v>187</v>
      </c>
      <c r="C87" s="3">
        <f>COUNTIF(Estandarización!C:C,'Summary BPL'!B87)-COUNTIFS(Estandarización!C:C,'Summary BPL'!B87,Estandarización!F:F,"N/A")-COUNTIFS(Estandarización!C:C,'Summary BPL'!B87,Estandarización!F:F,"NA - 1")-COUNTIFS(Estandarización!C:C,'Summary BPL'!B87,Estandarización!F:F,"NA - 0")</f>
        <v>2</v>
      </c>
      <c r="D87" s="3">
        <f>SUMIFS(Estandarización!F:F,Estandarización!C:C,'Summary BPL'!B87)</f>
        <v>0</v>
      </c>
      <c r="E87" s="78">
        <f t="shared" si="2"/>
        <v>0</v>
      </c>
    </row>
    <row r="88" spans="1:5" x14ac:dyDescent="0.25">
      <c r="A88" t="s">
        <v>410</v>
      </c>
      <c r="B88" t="s">
        <v>500</v>
      </c>
      <c r="C88" s="3">
        <f>COUNTIF(Estandarización!C:C,'Summary BPL'!B88)-COUNTIFS(Estandarización!C:C,'Summary BPL'!B88,Estandarización!F:F,"N/A")-COUNTIFS(Estandarización!C:C,'Summary BPL'!B88,Estandarización!F:F,"NA - 1")-COUNTIFS(Estandarización!C:C,'Summary BPL'!B88,Estandarización!F:F,"NA - 0")</f>
        <v>1</v>
      </c>
      <c r="D88" s="3">
        <f>SUMIFS(Estandarización!F:F,Estandarización!C:C,'Summary BPL'!B88)</f>
        <v>0</v>
      </c>
      <c r="E88" s="78">
        <f t="shared" si="2"/>
        <v>0</v>
      </c>
    </row>
    <row r="89" spans="1:5" x14ac:dyDescent="0.25">
      <c r="A89" t="s">
        <v>410</v>
      </c>
      <c r="B89" t="s">
        <v>289</v>
      </c>
      <c r="C89" s="3">
        <f>COUNTIF(Estandarización!C:C,'Summary BPL'!B89)-COUNTIFS(Estandarización!C:C,'Summary BPL'!B89,Estandarización!F:F,"N/A")-COUNTIFS(Estandarización!C:C,'Summary BPL'!B89,Estandarización!F:F,"NA - 1")-COUNTIFS(Estandarización!C:C,'Summary BPL'!B89,Estandarización!F:F,"NA - 0")</f>
        <v>1</v>
      </c>
      <c r="D89" s="3">
        <f>SUMIFS(Estandarización!F:F,Estandarización!C:C,'Summary BPL'!B89)</f>
        <v>1</v>
      </c>
      <c r="E89" s="78">
        <f t="shared" si="2"/>
        <v>1</v>
      </c>
    </row>
    <row r="90" spans="1:5" x14ac:dyDescent="0.25">
      <c r="E90" s="78"/>
    </row>
    <row r="91" spans="1:5" x14ac:dyDescent="0.25">
      <c r="A91" t="s">
        <v>704</v>
      </c>
      <c r="B91" t="s">
        <v>715</v>
      </c>
      <c r="C91" s="3">
        <f>COUNTIF(Estandarización!C:C,'Summary BPL'!B91)-COUNTIFS(Estandarización!C:C,'Summary BPL'!B91,Estandarización!F:F,"N/A")-COUNTIFS(Estandarización!C:C,'Summary BPL'!B91,Estandarización!F:F,"NA - 1")-COUNTIFS(Estandarización!C:C,'Summary BPL'!B91,Estandarización!F:F,"NA - 0")</f>
        <v>1</v>
      </c>
      <c r="D91" s="3">
        <f>SUMIFS(Estandarización!F:F,Estandarización!C:C,'Summary BPL'!B91)</f>
        <v>0</v>
      </c>
      <c r="E91" s="78">
        <f t="shared" si="2"/>
        <v>0</v>
      </c>
    </row>
    <row r="92" spans="1:5" x14ac:dyDescent="0.25">
      <c r="A92" t="s">
        <v>704</v>
      </c>
      <c r="B92" t="s">
        <v>716</v>
      </c>
      <c r="C92" s="3">
        <f>COUNTIF(Estandarización!C:C,'Summary BPL'!B92)-COUNTIFS(Estandarización!C:C,'Summary BPL'!B92,Estandarización!F:F,"N/A")-COUNTIFS(Estandarización!C:C,'Summary BPL'!B92,Estandarización!F:F,"NA - 1")-COUNTIFS(Estandarización!C:C,'Summary BPL'!B92,Estandarización!F:F,"NA - 0")</f>
        <v>1</v>
      </c>
      <c r="D92" s="3">
        <f>SUMIFS(Estandarización!F:F,Estandarización!C:C,'Summary BPL'!B92)</f>
        <v>0</v>
      </c>
      <c r="E92" s="78">
        <f t="shared" si="2"/>
        <v>0</v>
      </c>
    </row>
    <row r="93" spans="1:5" x14ac:dyDescent="0.25">
      <c r="D93" s="3">
        <f>SUMIFS(Estandarización!F:F,Estandarización!C:C,'Summary BPL'!B93)</f>
        <v>0</v>
      </c>
      <c r="E93" s="78">
        <f t="shared" si="2"/>
        <v>0</v>
      </c>
    </row>
    <row r="94" spans="1:5" x14ac:dyDescent="0.25">
      <c r="A94" t="s">
        <v>705</v>
      </c>
      <c r="B94" t="s">
        <v>717</v>
      </c>
      <c r="C94" s="3">
        <f>COUNTIF(Estandarización!C:C,'Summary BPL'!B94)-COUNTIFS(Estandarización!C:C,'Summary BPL'!B94,Estandarización!F:F,"N/A")-COUNTIFS(Estandarización!C:C,'Summary BPL'!B94,Estandarización!F:F,"NA - 1")-COUNTIFS(Estandarización!C:C,'Summary BPL'!B94,Estandarización!F:F,"NA - 0")</f>
        <v>2</v>
      </c>
      <c r="D94" s="3">
        <f>SUMIFS(Estandarización!F:F,Estandarización!C:C,'Summary BPL'!B94)</f>
        <v>0</v>
      </c>
      <c r="E94" s="78">
        <f t="shared" si="2"/>
        <v>0</v>
      </c>
    </row>
    <row r="95" spans="1:5" x14ac:dyDescent="0.25">
      <c r="A95" t="s">
        <v>705</v>
      </c>
      <c r="B95" t="s">
        <v>718</v>
      </c>
      <c r="C95" s="3">
        <f>COUNTIF(Estandarización!C:C,'Summary BPL'!B95)-COUNTIFS(Estandarización!C:C,'Summary BPL'!B95,Estandarización!F:F,"N/A")-COUNTIFS(Estandarización!C:C,'Summary BPL'!B95,Estandarización!F:F,"NA - 1")-COUNTIFS(Estandarización!C:C,'Summary BPL'!B95,Estandarización!F:F,"NA - 0")</f>
        <v>1</v>
      </c>
      <c r="D95" s="3">
        <f>SUMIFS(Estandarización!F:F,Estandarización!C:C,'Summary BPL'!B95)</f>
        <v>0</v>
      </c>
      <c r="E95" s="78">
        <f t="shared" si="2"/>
        <v>0</v>
      </c>
    </row>
    <row r="96" spans="1:5" x14ac:dyDescent="0.25">
      <c r="E96" s="78"/>
    </row>
    <row r="97" spans="1:5" x14ac:dyDescent="0.25">
      <c r="A97" t="s">
        <v>706</v>
      </c>
      <c r="B97" t="s">
        <v>719</v>
      </c>
      <c r="C97" s="3">
        <f>COUNTIF(Estandarización!C:C,'Summary BPL'!B97)-COUNTIFS(Estandarización!C:C,'Summary BPL'!B97,Estandarización!F:F,"N/A")-COUNTIFS(Estandarización!C:C,'Summary BPL'!B97,Estandarización!F:F,"NA - 1")-COUNTIFS(Estandarización!C:C,'Summary BPL'!B97,Estandarización!F:F,"NA - 0")</f>
        <v>5</v>
      </c>
      <c r="D97" s="3">
        <f>SUMIFS(Estandarización!F:F,Estandarización!C:C,'Summary BPL'!B97)</f>
        <v>0</v>
      </c>
      <c r="E97" s="78">
        <f t="shared" si="2"/>
        <v>0</v>
      </c>
    </row>
    <row r="98" spans="1:5" x14ac:dyDescent="0.25">
      <c r="E98" s="78"/>
    </row>
    <row r="99" spans="1:5" x14ac:dyDescent="0.25">
      <c r="A99" t="s">
        <v>19</v>
      </c>
      <c r="B99" t="s">
        <v>178</v>
      </c>
      <c r="C99" s="3">
        <f>COUNTIF(Mejora!C:C,'Summary BPL'!B99)-COUNTIFS(Mejora!C:C,'Summary BPL'!B99,Mejora!F:F,"N/A")-COUNTIFS(Mejora!C:C,'Summary BPL'!B99,Mejora!F:F,"NA - 1")-COUNTIFS(Mejora!C:C,'Summary BPL'!B99,Mejora!F:F,"NA - 0")</f>
        <v>7</v>
      </c>
      <c r="D99" s="3">
        <f>SUMIFS(Mejora!F:F,Mejora!C:C,'Summary BPL'!B99)</f>
        <v>3</v>
      </c>
      <c r="E99" s="78">
        <f t="shared" si="2"/>
        <v>0.42857142857142855</v>
      </c>
    </row>
    <row r="100" spans="1:5" x14ac:dyDescent="0.25">
      <c r="A100" t="s">
        <v>19</v>
      </c>
      <c r="B100" t="s">
        <v>177</v>
      </c>
      <c r="C100" s="3">
        <f>COUNTIF(Mejora!C:C,'Summary BPL'!B100)-COUNTIFS(Mejora!C:C,'Summary BPL'!B100,Mejora!F:F,"N/A")-COUNTIFS(Mejora!C:C,'Summary BPL'!B100,Mejora!F:F,"NA - 1")-COUNTIFS(Mejora!C:C,'Summary BPL'!B100,Mejora!F:F,"NA - 0")</f>
        <v>3</v>
      </c>
      <c r="D100" s="3">
        <f>SUMIFS(Mejora!F:F,Mejora!C:C,'Summary BPL'!B100)</f>
        <v>2</v>
      </c>
      <c r="E100" s="78">
        <f t="shared" si="2"/>
        <v>0.66666666666666663</v>
      </c>
    </row>
    <row r="101" spans="1:5" x14ac:dyDescent="0.25">
      <c r="D101" s="3">
        <f>SUMIFS(Mejora!F:F,Mejora!C:C,'Summary BPL'!B101)</f>
        <v>0</v>
      </c>
      <c r="E101" s="78">
        <f t="shared" si="2"/>
        <v>0</v>
      </c>
    </row>
    <row r="102" spans="1:5" x14ac:dyDescent="0.25">
      <c r="A102" t="s">
        <v>18</v>
      </c>
      <c r="B102" t="s">
        <v>505</v>
      </c>
      <c r="C102" s="3">
        <f>COUNTIF(Mejora!C:C,'Summary BPL'!B102)-COUNTIFS(Mejora!C:C,'Summary BPL'!B102,Mejora!F:F,"N/A")-COUNTIFS(Mejora!C:C,'Summary BPL'!B102,Mejora!F:F,"NA - 1")-COUNTIFS(Mejora!C:C,'Summary BPL'!B102,Mejora!F:F,"NA - 0")</f>
        <v>3</v>
      </c>
      <c r="D102" s="3">
        <f>SUMIFS(Mejora!F:F,Mejora!C:C,'Summary BPL'!B102)</f>
        <v>0</v>
      </c>
      <c r="E102" s="78">
        <f t="shared" si="2"/>
        <v>0</v>
      </c>
    </row>
    <row r="103" spans="1:5" x14ac:dyDescent="0.25">
      <c r="A103" t="s">
        <v>18</v>
      </c>
      <c r="B103" t="s">
        <v>185</v>
      </c>
      <c r="C103" s="3">
        <f>COUNTIF(Mejora!C:C,'Summary BPL'!B103)-COUNTIFS(Mejora!C:C,'Summary BPL'!B103,Mejora!F:F,"N/A")-COUNTIFS(Mejora!C:C,'Summary BPL'!B103,Mejora!F:F,"NA - 1")-COUNTIFS(Mejora!C:C,'Summary BPL'!B103,Mejora!F:F,"NA - 0")</f>
        <v>2</v>
      </c>
      <c r="D103" s="3">
        <f>SUMIFS(Mejora!F:F,Mejora!C:C,'Summary BPL'!B103)</f>
        <v>2</v>
      </c>
      <c r="E103" s="78">
        <f t="shared" si="2"/>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8C983-4E4D-4FB4-B661-E9C4618E982E}">
  <sheetPr>
    <tabColor rgb="FF00B050"/>
  </sheetPr>
  <dimension ref="A1:G343"/>
  <sheetViews>
    <sheetView showGridLines="0" zoomScale="70" zoomScaleNormal="70" workbookViewId="0">
      <pane xSplit="4" ySplit="1" topLeftCell="E99" activePane="bottomRight" state="frozen"/>
      <selection activeCell="F7" sqref="F7"/>
      <selection pane="topRight" activeCell="F7" sqref="F7"/>
      <selection pane="bottomLeft" activeCell="F7" sqref="F7"/>
      <selection pane="bottomRight" activeCell="F7" sqref="F7"/>
    </sheetView>
  </sheetViews>
  <sheetFormatPr baseColWidth="10" defaultRowHeight="15.75" x14ac:dyDescent="0.25"/>
  <cols>
    <col min="1" max="1" width="10.5" customWidth="1"/>
    <col min="2" max="2" width="24.75" customWidth="1"/>
    <col min="3" max="3" width="10.5" customWidth="1"/>
    <col min="4" max="4" width="77.625" style="200" customWidth="1"/>
    <col min="5" max="6" width="10.5" customWidth="1"/>
    <col min="7" max="7" width="86.5" customWidth="1"/>
  </cols>
  <sheetData>
    <row r="1" spans="1:7" ht="18.75" x14ac:dyDescent="0.25">
      <c r="A1" s="201" t="s">
        <v>4</v>
      </c>
      <c r="B1" s="201" t="s">
        <v>153</v>
      </c>
      <c r="C1" s="201"/>
      <c r="D1" s="202" t="s">
        <v>118</v>
      </c>
      <c r="E1" s="201" t="s">
        <v>743</v>
      </c>
      <c r="F1" s="201" t="s">
        <v>761</v>
      </c>
      <c r="G1" s="203" t="s">
        <v>962</v>
      </c>
    </row>
    <row r="2" spans="1:7" ht="6.75" customHeight="1" x14ac:dyDescent="0.25">
      <c r="A2" s="204"/>
      <c r="B2" s="205"/>
      <c r="C2" s="206"/>
      <c r="D2" s="207"/>
      <c r="E2" s="205"/>
      <c r="F2" s="205"/>
      <c r="G2" s="94"/>
    </row>
    <row r="3" spans="1:7" x14ac:dyDescent="0.25">
      <c r="A3" s="62">
        <v>1</v>
      </c>
      <c r="B3" s="63" t="s">
        <v>363</v>
      </c>
      <c r="C3" s="63"/>
      <c r="D3" s="208"/>
      <c r="E3" s="209"/>
      <c r="F3" s="209"/>
      <c r="G3" s="210"/>
    </row>
    <row r="4" spans="1:7" x14ac:dyDescent="0.25">
      <c r="A4" s="211" t="s">
        <v>156</v>
      </c>
      <c r="B4" s="212" t="s">
        <v>522</v>
      </c>
      <c r="C4" s="42" t="s">
        <v>96</v>
      </c>
      <c r="D4" s="43" t="s">
        <v>764</v>
      </c>
      <c r="E4" s="42" t="s">
        <v>746</v>
      </c>
      <c r="F4" s="42" t="s">
        <v>963</v>
      </c>
      <c r="G4" s="213" t="s">
        <v>964</v>
      </c>
    </row>
    <row r="5" spans="1:7" x14ac:dyDescent="0.25">
      <c r="A5" s="211" t="s">
        <v>156</v>
      </c>
      <c r="B5" s="214" t="s">
        <v>522</v>
      </c>
      <c r="C5" s="42" t="s">
        <v>97</v>
      </c>
      <c r="D5" s="43" t="s">
        <v>524</v>
      </c>
      <c r="E5" s="42" t="s">
        <v>963</v>
      </c>
      <c r="F5" s="42" t="s">
        <v>963</v>
      </c>
      <c r="G5" s="213" t="s">
        <v>965</v>
      </c>
    </row>
    <row r="6" spans="1:7" ht="31.5" x14ac:dyDescent="0.25">
      <c r="A6" s="211" t="s">
        <v>156</v>
      </c>
      <c r="B6" s="215" t="s">
        <v>522</v>
      </c>
      <c r="C6" s="42" t="s">
        <v>519</v>
      </c>
      <c r="D6" s="43" t="s">
        <v>765</v>
      </c>
      <c r="E6" s="42" t="s">
        <v>746</v>
      </c>
      <c r="F6" s="42" t="s">
        <v>963</v>
      </c>
      <c r="G6" s="213" t="s">
        <v>966</v>
      </c>
    </row>
    <row r="7" spans="1:7" ht="31.5" x14ac:dyDescent="0.25">
      <c r="A7" s="211" t="s">
        <v>156</v>
      </c>
      <c r="B7" s="214" t="s">
        <v>522</v>
      </c>
      <c r="C7" s="42" t="s">
        <v>520</v>
      </c>
      <c r="D7" s="43" t="s">
        <v>901</v>
      </c>
      <c r="E7" s="42" t="s">
        <v>746</v>
      </c>
      <c r="F7" s="42" t="s">
        <v>963</v>
      </c>
      <c r="G7" s="213" t="s">
        <v>967</v>
      </c>
    </row>
    <row r="8" spans="1:7" ht="31.5" x14ac:dyDescent="0.25">
      <c r="A8" s="211" t="s">
        <v>156</v>
      </c>
      <c r="B8" s="214" t="s">
        <v>522</v>
      </c>
      <c r="C8" s="45" t="s">
        <v>521</v>
      </c>
      <c r="D8" s="43" t="s">
        <v>766</v>
      </c>
      <c r="E8" s="42" t="s">
        <v>746</v>
      </c>
      <c r="F8" s="42" t="s">
        <v>963</v>
      </c>
      <c r="G8" s="213" t="s">
        <v>968</v>
      </c>
    </row>
    <row r="9" spans="1:7" ht="31.5" x14ac:dyDescent="0.25">
      <c r="A9" s="211" t="s">
        <v>322</v>
      </c>
      <c r="B9" s="212" t="s">
        <v>523</v>
      </c>
      <c r="C9" s="42" t="s">
        <v>98</v>
      </c>
      <c r="D9" s="43" t="s">
        <v>525</v>
      </c>
      <c r="E9" s="42" t="s">
        <v>746</v>
      </c>
      <c r="F9" s="42" t="s">
        <v>963</v>
      </c>
      <c r="G9" s="213" t="s">
        <v>969</v>
      </c>
    </row>
    <row r="10" spans="1:7" x14ac:dyDescent="0.25">
      <c r="A10" s="211" t="s">
        <v>322</v>
      </c>
      <c r="B10" s="214" t="s">
        <v>523</v>
      </c>
      <c r="C10" s="42" t="s">
        <v>99</v>
      </c>
      <c r="D10" s="43" t="s">
        <v>526</v>
      </c>
      <c r="E10" s="42" t="s">
        <v>746</v>
      </c>
      <c r="F10" s="42" t="s">
        <v>963</v>
      </c>
      <c r="G10" s="213" t="s">
        <v>970</v>
      </c>
    </row>
    <row r="11" spans="1:7" x14ac:dyDescent="0.25">
      <c r="A11" s="211" t="s">
        <v>322</v>
      </c>
      <c r="B11" s="215" t="s">
        <v>523</v>
      </c>
      <c r="C11" s="42" t="s">
        <v>100</v>
      </c>
      <c r="D11" s="43" t="s">
        <v>527</v>
      </c>
      <c r="E11" s="42" t="s">
        <v>746</v>
      </c>
      <c r="F11" s="42" t="s">
        <v>963</v>
      </c>
      <c r="G11" s="213" t="s">
        <v>970</v>
      </c>
    </row>
    <row r="12" spans="1:7" ht="31.5" x14ac:dyDescent="0.25">
      <c r="A12" s="211" t="s">
        <v>322</v>
      </c>
      <c r="B12" s="214" t="s">
        <v>523</v>
      </c>
      <c r="C12" s="42" t="s">
        <v>101</v>
      </c>
      <c r="D12" s="43" t="s">
        <v>902</v>
      </c>
      <c r="E12" s="42" t="s">
        <v>746</v>
      </c>
      <c r="F12" s="42" t="s">
        <v>963</v>
      </c>
      <c r="G12" s="213" t="s">
        <v>971</v>
      </c>
    </row>
    <row r="13" spans="1:7" ht="31.5" x14ac:dyDescent="0.25">
      <c r="A13" s="211" t="s">
        <v>322</v>
      </c>
      <c r="B13" s="216" t="s">
        <v>523</v>
      </c>
      <c r="C13" s="42" t="s">
        <v>903</v>
      </c>
      <c r="D13" s="43" t="s">
        <v>904</v>
      </c>
      <c r="E13" s="42" t="s">
        <v>963</v>
      </c>
      <c r="F13" s="42" t="s">
        <v>963</v>
      </c>
      <c r="G13" s="217" t="s">
        <v>972</v>
      </c>
    </row>
    <row r="14" spans="1:7" ht="31.5" x14ac:dyDescent="0.25">
      <c r="A14" s="211" t="s">
        <v>323</v>
      </c>
      <c r="B14" s="218" t="s">
        <v>585</v>
      </c>
      <c r="C14" s="42" t="s">
        <v>790</v>
      </c>
      <c r="D14" s="43" t="s">
        <v>528</v>
      </c>
      <c r="E14" s="42" t="s">
        <v>746</v>
      </c>
      <c r="F14" s="42" t="s">
        <v>963</v>
      </c>
      <c r="G14" s="213" t="s">
        <v>973</v>
      </c>
    </row>
    <row r="15" spans="1:7" ht="31.5" x14ac:dyDescent="0.25">
      <c r="A15" s="211" t="s">
        <v>323</v>
      </c>
      <c r="B15" s="216" t="s">
        <v>585</v>
      </c>
      <c r="C15" s="42" t="s">
        <v>791</v>
      </c>
      <c r="D15" s="43" t="s">
        <v>529</v>
      </c>
      <c r="E15" s="42" t="s">
        <v>963</v>
      </c>
      <c r="F15" s="42" t="s">
        <v>963</v>
      </c>
      <c r="G15" s="213" t="s">
        <v>974</v>
      </c>
    </row>
    <row r="16" spans="1:7" ht="31.5" x14ac:dyDescent="0.25">
      <c r="A16" s="211" t="s">
        <v>324</v>
      </c>
      <c r="B16" s="212" t="s">
        <v>586</v>
      </c>
      <c r="C16" s="42" t="s">
        <v>102</v>
      </c>
      <c r="D16" s="43" t="s">
        <v>905</v>
      </c>
      <c r="E16" s="42" t="s">
        <v>963</v>
      </c>
      <c r="F16" s="42" t="s">
        <v>963</v>
      </c>
      <c r="G16" s="213" t="s">
        <v>975</v>
      </c>
    </row>
    <row r="17" spans="1:7" x14ac:dyDescent="0.25">
      <c r="A17" s="211" t="s">
        <v>324</v>
      </c>
      <c r="B17" s="219" t="s">
        <v>586</v>
      </c>
      <c r="C17" s="42" t="s">
        <v>103</v>
      </c>
      <c r="D17" s="43" t="s">
        <v>532</v>
      </c>
      <c r="E17" s="42" t="s">
        <v>963</v>
      </c>
      <c r="F17" s="42" t="s">
        <v>963</v>
      </c>
      <c r="G17" s="213" t="s">
        <v>976</v>
      </c>
    </row>
    <row r="18" spans="1:7" x14ac:dyDescent="0.25">
      <c r="A18" s="211" t="s">
        <v>324</v>
      </c>
      <c r="B18" s="216" t="s">
        <v>586</v>
      </c>
      <c r="C18" s="42" t="s">
        <v>792</v>
      </c>
      <c r="D18" s="43" t="s">
        <v>534</v>
      </c>
      <c r="E18" s="42" t="s">
        <v>746</v>
      </c>
      <c r="F18" s="42" t="s">
        <v>963</v>
      </c>
      <c r="G18" s="213" t="s">
        <v>977</v>
      </c>
    </row>
    <row r="19" spans="1:7" ht="31.5" x14ac:dyDescent="0.25">
      <c r="A19" s="211" t="s">
        <v>594</v>
      </c>
      <c r="B19" s="212" t="s">
        <v>587</v>
      </c>
      <c r="C19" s="42" t="s">
        <v>530</v>
      </c>
      <c r="D19" s="43" t="s">
        <v>1</v>
      </c>
      <c r="E19" s="42" t="s">
        <v>963</v>
      </c>
      <c r="F19" s="42" t="s">
        <v>963</v>
      </c>
      <c r="G19" s="213" t="s">
        <v>978</v>
      </c>
    </row>
    <row r="20" spans="1:7" ht="31.5" x14ac:dyDescent="0.25">
      <c r="A20" s="211" t="s">
        <v>594</v>
      </c>
      <c r="B20" s="214" t="s">
        <v>587</v>
      </c>
      <c r="C20" s="42" t="s">
        <v>531</v>
      </c>
      <c r="D20" s="43" t="s">
        <v>3</v>
      </c>
      <c r="E20" s="42" t="s">
        <v>963</v>
      </c>
      <c r="F20" s="42" t="s">
        <v>963</v>
      </c>
      <c r="G20" s="213" t="s">
        <v>979</v>
      </c>
    </row>
    <row r="21" spans="1:7" ht="47.25" x14ac:dyDescent="0.25">
      <c r="A21" s="211" t="s">
        <v>594</v>
      </c>
      <c r="B21" s="219" t="s">
        <v>587</v>
      </c>
      <c r="C21" s="42" t="s">
        <v>533</v>
      </c>
      <c r="D21" s="43" t="s">
        <v>832</v>
      </c>
      <c r="E21" s="42" t="s">
        <v>963</v>
      </c>
      <c r="F21" s="42" t="s">
        <v>763</v>
      </c>
      <c r="G21" s="213" t="s">
        <v>980</v>
      </c>
    </row>
    <row r="22" spans="1:7" ht="47.25" x14ac:dyDescent="0.25">
      <c r="A22" s="211" t="s">
        <v>594</v>
      </c>
      <c r="B22" s="216" t="s">
        <v>587</v>
      </c>
      <c r="C22" s="42" t="s">
        <v>793</v>
      </c>
      <c r="D22" s="43" t="s">
        <v>785</v>
      </c>
      <c r="E22" s="42" t="s">
        <v>963</v>
      </c>
      <c r="F22" s="42" t="s">
        <v>763</v>
      </c>
      <c r="G22" s="213" t="s">
        <v>981</v>
      </c>
    </row>
    <row r="23" spans="1:7" ht="31.5" x14ac:dyDescent="0.25">
      <c r="A23" s="211" t="s">
        <v>595</v>
      </c>
      <c r="B23" s="212" t="s">
        <v>588</v>
      </c>
      <c r="C23" s="42" t="s">
        <v>535</v>
      </c>
      <c r="D23" s="43" t="s">
        <v>540</v>
      </c>
      <c r="E23" s="42" t="s">
        <v>746</v>
      </c>
      <c r="F23" s="42" t="s">
        <v>963</v>
      </c>
      <c r="G23" s="213" t="s">
        <v>982</v>
      </c>
    </row>
    <row r="24" spans="1:7" x14ac:dyDescent="0.25">
      <c r="A24" s="211" t="s">
        <v>595</v>
      </c>
      <c r="B24" s="219" t="s">
        <v>588</v>
      </c>
      <c r="C24" s="42" t="s">
        <v>536</v>
      </c>
      <c r="D24" s="43" t="s">
        <v>2</v>
      </c>
      <c r="E24" s="42" t="s">
        <v>963</v>
      </c>
      <c r="F24" s="42" t="s">
        <v>963</v>
      </c>
      <c r="G24" s="213" t="s">
        <v>983</v>
      </c>
    </row>
    <row r="25" spans="1:7" ht="31.5" x14ac:dyDescent="0.25">
      <c r="A25" s="211" t="s">
        <v>595</v>
      </c>
      <c r="B25" s="214" t="s">
        <v>588</v>
      </c>
      <c r="C25" s="42" t="s">
        <v>537</v>
      </c>
      <c r="D25" s="43" t="s">
        <v>542</v>
      </c>
      <c r="E25" s="42" t="s">
        <v>963</v>
      </c>
      <c r="F25" s="42" t="s">
        <v>963</v>
      </c>
      <c r="G25" s="213" t="s">
        <v>984</v>
      </c>
    </row>
    <row r="26" spans="1:7" ht="31.5" x14ac:dyDescent="0.25">
      <c r="A26" s="211" t="s">
        <v>595</v>
      </c>
      <c r="B26" s="216" t="s">
        <v>588</v>
      </c>
      <c r="C26" s="42" t="s">
        <v>538</v>
      </c>
      <c r="D26" s="43" t="s">
        <v>543</v>
      </c>
      <c r="E26" s="42" t="s">
        <v>746</v>
      </c>
      <c r="F26" s="42" t="s">
        <v>963</v>
      </c>
      <c r="G26" s="213" t="s">
        <v>984</v>
      </c>
    </row>
    <row r="27" spans="1:7" ht="31.5" x14ac:dyDescent="0.25">
      <c r="A27" s="211" t="s">
        <v>596</v>
      </c>
      <c r="B27" s="218" t="s">
        <v>589</v>
      </c>
      <c r="C27" s="42" t="s">
        <v>539</v>
      </c>
      <c r="D27" s="43" t="s">
        <v>545</v>
      </c>
      <c r="E27" s="42" t="s">
        <v>963</v>
      </c>
      <c r="F27" s="42" t="s">
        <v>963</v>
      </c>
      <c r="G27" s="213" t="s">
        <v>985</v>
      </c>
    </row>
    <row r="28" spans="1:7" ht="31.5" x14ac:dyDescent="0.25">
      <c r="A28" s="211" t="s">
        <v>596</v>
      </c>
      <c r="B28" s="216" t="s">
        <v>589</v>
      </c>
      <c r="C28" s="42" t="s">
        <v>541</v>
      </c>
      <c r="D28" s="43" t="s">
        <v>547</v>
      </c>
      <c r="E28" s="42" t="s">
        <v>746</v>
      </c>
      <c r="F28" s="42" t="s">
        <v>963</v>
      </c>
      <c r="G28" s="213" t="s">
        <v>986</v>
      </c>
    </row>
    <row r="29" spans="1:7" ht="31.5" x14ac:dyDescent="0.25">
      <c r="A29" s="211" t="s">
        <v>597</v>
      </c>
      <c r="B29" s="212" t="s">
        <v>590</v>
      </c>
      <c r="C29" s="42" t="s">
        <v>544</v>
      </c>
      <c r="D29" s="43" t="s">
        <v>0</v>
      </c>
      <c r="E29" s="42" t="s">
        <v>963</v>
      </c>
      <c r="F29" s="42" t="s">
        <v>963</v>
      </c>
      <c r="G29" s="213" t="s">
        <v>987</v>
      </c>
    </row>
    <row r="30" spans="1:7" ht="47.25" x14ac:dyDescent="0.25">
      <c r="A30" s="211" t="s">
        <v>597</v>
      </c>
      <c r="B30" s="214" t="s">
        <v>590</v>
      </c>
      <c r="C30" s="42" t="s">
        <v>546</v>
      </c>
      <c r="D30" s="43" t="s">
        <v>550</v>
      </c>
      <c r="E30" s="42" t="s">
        <v>746</v>
      </c>
      <c r="F30" s="42" t="s">
        <v>963</v>
      </c>
      <c r="G30" s="213" t="s">
        <v>988</v>
      </c>
    </row>
    <row r="31" spans="1:7" ht="63" x14ac:dyDescent="0.25">
      <c r="A31" s="211" t="s">
        <v>597</v>
      </c>
      <c r="B31" s="214" t="s">
        <v>590</v>
      </c>
      <c r="C31" s="42" t="s">
        <v>794</v>
      </c>
      <c r="D31" s="43" t="s">
        <v>836</v>
      </c>
      <c r="E31" s="42" t="s">
        <v>963</v>
      </c>
      <c r="F31" s="42" t="s">
        <v>963</v>
      </c>
      <c r="G31" s="213" t="s">
        <v>989</v>
      </c>
    </row>
    <row r="32" spans="1:7" x14ac:dyDescent="0.25">
      <c r="A32" s="211" t="s">
        <v>597</v>
      </c>
      <c r="B32" s="214" t="s">
        <v>590</v>
      </c>
      <c r="C32" s="42" t="s">
        <v>795</v>
      </c>
      <c r="D32" s="43" t="s">
        <v>553</v>
      </c>
      <c r="E32" s="42" t="s">
        <v>746</v>
      </c>
      <c r="F32" s="42" t="s">
        <v>963</v>
      </c>
      <c r="G32" s="213" t="s">
        <v>990</v>
      </c>
    </row>
    <row r="33" spans="1:7" x14ac:dyDescent="0.25">
      <c r="A33" s="211" t="s">
        <v>597</v>
      </c>
      <c r="B33" s="214" t="s">
        <v>590</v>
      </c>
      <c r="C33" s="42" t="s">
        <v>796</v>
      </c>
      <c r="D33" s="43" t="s">
        <v>555</v>
      </c>
      <c r="E33" s="42" t="s">
        <v>746</v>
      </c>
      <c r="F33" s="42" t="s">
        <v>963</v>
      </c>
      <c r="G33" s="213" t="s">
        <v>991</v>
      </c>
    </row>
    <row r="34" spans="1:7" x14ac:dyDescent="0.25">
      <c r="A34" s="211" t="s">
        <v>597</v>
      </c>
      <c r="B34" s="215" t="s">
        <v>590</v>
      </c>
      <c r="C34" s="42" t="s">
        <v>797</v>
      </c>
      <c r="D34" s="43" t="s">
        <v>557</v>
      </c>
      <c r="E34" s="42" t="s">
        <v>746</v>
      </c>
      <c r="F34" s="42" t="s">
        <v>963</v>
      </c>
      <c r="G34" s="213" t="s">
        <v>992</v>
      </c>
    </row>
    <row r="35" spans="1:7" x14ac:dyDescent="0.25">
      <c r="A35" s="211" t="s">
        <v>597</v>
      </c>
      <c r="B35" s="214" t="s">
        <v>590</v>
      </c>
      <c r="C35" s="42" t="s">
        <v>798</v>
      </c>
      <c r="D35" s="43" t="s">
        <v>559</v>
      </c>
      <c r="E35" s="42" t="s">
        <v>746</v>
      </c>
      <c r="F35" s="42" t="s">
        <v>963</v>
      </c>
      <c r="G35" s="213" t="s">
        <v>993</v>
      </c>
    </row>
    <row r="36" spans="1:7" ht="31.5" x14ac:dyDescent="0.25">
      <c r="A36" s="211" t="s">
        <v>597</v>
      </c>
      <c r="B36" s="214" t="s">
        <v>590</v>
      </c>
      <c r="C36" s="42" t="s">
        <v>799</v>
      </c>
      <c r="D36" s="43" t="s">
        <v>834</v>
      </c>
      <c r="E36" s="42" t="s">
        <v>746</v>
      </c>
      <c r="F36" s="42" t="s">
        <v>963</v>
      </c>
      <c r="G36" s="213" t="s">
        <v>994</v>
      </c>
    </row>
    <row r="37" spans="1:7" ht="31.5" x14ac:dyDescent="0.25">
      <c r="A37" s="211" t="s">
        <v>597</v>
      </c>
      <c r="B37" s="214" t="s">
        <v>590</v>
      </c>
      <c r="C37" s="42" t="s">
        <v>800</v>
      </c>
      <c r="D37" s="43" t="s">
        <v>561</v>
      </c>
      <c r="E37" s="42" t="s">
        <v>746</v>
      </c>
      <c r="F37" s="42" t="s">
        <v>963</v>
      </c>
      <c r="G37" s="213" t="s">
        <v>995</v>
      </c>
    </row>
    <row r="38" spans="1:7" ht="31.5" x14ac:dyDescent="0.25">
      <c r="A38" s="211" t="s">
        <v>597</v>
      </c>
      <c r="B38" s="214" t="s">
        <v>590</v>
      </c>
      <c r="C38" s="42" t="s">
        <v>801</v>
      </c>
      <c r="D38" s="43" t="s">
        <v>562</v>
      </c>
      <c r="E38" s="42" t="s">
        <v>746</v>
      </c>
      <c r="F38" s="42" t="s">
        <v>963</v>
      </c>
      <c r="G38" s="213" t="s">
        <v>996</v>
      </c>
    </row>
    <row r="39" spans="1:7" x14ac:dyDescent="0.25">
      <c r="A39" s="211" t="s">
        <v>597</v>
      </c>
      <c r="B39" s="214" t="s">
        <v>590</v>
      </c>
      <c r="C39" s="42" t="s">
        <v>835</v>
      </c>
      <c r="D39" s="43" t="s">
        <v>563</v>
      </c>
      <c r="E39" s="42" t="s">
        <v>746</v>
      </c>
      <c r="F39" s="42" t="s">
        <v>963</v>
      </c>
      <c r="G39" s="213" t="s">
        <v>997</v>
      </c>
    </row>
    <row r="40" spans="1:7" x14ac:dyDescent="0.25">
      <c r="A40" s="211" t="s">
        <v>597</v>
      </c>
      <c r="B40" s="216" t="s">
        <v>590</v>
      </c>
      <c r="C40" s="42" t="s">
        <v>907</v>
      </c>
      <c r="D40" s="43" t="s">
        <v>906</v>
      </c>
      <c r="E40" s="42" t="s">
        <v>963</v>
      </c>
      <c r="F40" s="42" t="s">
        <v>963</v>
      </c>
      <c r="G40" s="213" t="s">
        <v>998</v>
      </c>
    </row>
    <row r="41" spans="1:7" x14ac:dyDescent="0.25">
      <c r="A41" s="211" t="s">
        <v>598</v>
      </c>
      <c r="B41" s="212" t="s">
        <v>591</v>
      </c>
      <c r="C41" s="42" t="s">
        <v>548</v>
      </c>
      <c r="D41" s="43" t="s">
        <v>21</v>
      </c>
      <c r="E41" s="42" t="s">
        <v>963</v>
      </c>
      <c r="F41" s="42" t="s">
        <v>963</v>
      </c>
      <c r="G41" s="213" t="s">
        <v>999</v>
      </c>
    </row>
    <row r="42" spans="1:7" ht="31.5" x14ac:dyDescent="0.25">
      <c r="A42" s="211" t="s">
        <v>598</v>
      </c>
      <c r="B42" s="214" t="s">
        <v>591</v>
      </c>
      <c r="C42" s="42" t="s">
        <v>549</v>
      </c>
      <c r="D42" s="43" t="s">
        <v>566</v>
      </c>
      <c r="E42" s="42" t="s">
        <v>746</v>
      </c>
      <c r="F42" s="42" t="s">
        <v>963</v>
      </c>
      <c r="G42" s="213" t="s">
        <v>1000</v>
      </c>
    </row>
    <row r="43" spans="1:7" ht="47.25" x14ac:dyDescent="0.25">
      <c r="A43" s="211" t="s">
        <v>598</v>
      </c>
      <c r="B43" s="214" t="s">
        <v>591</v>
      </c>
      <c r="C43" s="42" t="s">
        <v>551</v>
      </c>
      <c r="D43" s="43" t="s">
        <v>568</v>
      </c>
      <c r="E43" s="42" t="s">
        <v>746</v>
      </c>
      <c r="F43" s="42" t="s">
        <v>963</v>
      </c>
      <c r="G43" s="213" t="s">
        <v>1001</v>
      </c>
    </row>
    <row r="44" spans="1:7" x14ac:dyDescent="0.25">
      <c r="A44" s="211" t="s">
        <v>598</v>
      </c>
      <c r="B44" s="214" t="s">
        <v>591</v>
      </c>
      <c r="C44" s="42" t="s">
        <v>552</v>
      </c>
      <c r="D44" s="43" t="s">
        <v>570</v>
      </c>
      <c r="E44" s="42" t="s">
        <v>746</v>
      </c>
      <c r="F44" s="42" t="s">
        <v>963</v>
      </c>
      <c r="G44" s="213" t="s">
        <v>1002</v>
      </c>
    </row>
    <row r="45" spans="1:7" ht="31.5" x14ac:dyDescent="0.25">
      <c r="A45" s="211" t="s">
        <v>598</v>
      </c>
      <c r="B45" s="220" t="s">
        <v>591</v>
      </c>
      <c r="C45" s="42" t="s">
        <v>554</v>
      </c>
      <c r="D45" s="43" t="s">
        <v>572</v>
      </c>
      <c r="E45" s="42" t="s">
        <v>746</v>
      </c>
      <c r="F45" s="42" t="s">
        <v>963</v>
      </c>
      <c r="G45" s="213" t="s">
        <v>1003</v>
      </c>
    </row>
    <row r="46" spans="1:7" ht="31.5" x14ac:dyDescent="0.25">
      <c r="A46" s="211" t="s">
        <v>598</v>
      </c>
      <c r="B46" s="214" t="s">
        <v>591</v>
      </c>
      <c r="C46" s="42" t="s">
        <v>556</v>
      </c>
      <c r="D46" s="43" t="s">
        <v>574</v>
      </c>
      <c r="E46" s="42" t="s">
        <v>746</v>
      </c>
      <c r="F46" s="42" t="s">
        <v>963</v>
      </c>
      <c r="G46" s="213" t="s">
        <v>1004</v>
      </c>
    </row>
    <row r="47" spans="1:7" ht="31.5" x14ac:dyDescent="0.25">
      <c r="A47" s="211" t="s">
        <v>598</v>
      </c>
      <c r="B47" s="214" t="s">
        <v>591</v>
      </c>
      <c r="C47" s="42" t="s">
        <v>558</v>
      </c>
      <c r="D47" s="43" t="s">
        <v>575</v>
      </c>
      <c r="E47" s="42" t="s">
        <v>746</v>
      </c>
      <c r="F47" s="42" t="s">
        <v>963</v>
      </c>
      <c r="G47" s="213" t="s">
        <v>1005</v>
      </c>
    </row>
    <row r="48" spans="1:7" ht="31.5" x14ac:dyDescent="0.25">
      <c r="A48" s="211" t="s">
        <v>598</v>
      </c>
      <c r="B48" s="216" t="s">
        <v>591</v>
      </c>
      <c r="C48" s="42" t="s">
        <v>560</v>
      </c>
      <c r="D48" s="43" t="s">
        <v>908</v>
      </c>
      <c r="E48" s="42" t="s">
        <v>746</v>
      </c>
      <c r="F48" s="42" t="s">
        <v>963</v>
      </c>
      <c r="G48" s="213" t="s">
        <v>1006</v>
      </c>
    </row>
    <row r="49" spans="1:7" ht="47.25" x14ac:dyDescent="0.25">
      <c r="A49" s="211" t="s">
        <v>599</v>
      </c>
      <c r="B49" s="212" t="s">
        <v>592</v>
      </c>
      <c r="C49" s="42" t="s">
        <v>564</v>
      </c>
      <c r="D49" s="43" t="s">
        <v>909</v>
      </c>
      <c r="E49" s="42" t="s">
        <v>746</v>
      </c>
      <c r="F49" s="42" t="s">
        <v>963</v>
      </c>
      <c r="G49" s="213" t="s">
        <v>1007</v>
      </c>
    </row>
    <row r="50" spans="1:7" ht="31.5" x14ac:dyDescent="0.25">
      <c r="A50" s="211" t="s">
        <v>599</v>
      </c>
      <c r="B50" s="214" t="s">
        <v>592</v>
      </c>
      <c r="C50" s="42" t="s">
        <v>565</v>
      </c>
      <c r="D50" s="43" t="s">
        <v>578</v>
      </c>
      <c r="E50" s="42" t="s">
        <v>746</v>
      </c>
      <c r="F50" s="42" t="s">
        <v>963</v>
      </c>
      <c r="G50" s="213" t="s">
        <v>1008</v>
      </c>
    </row>
    <row r="51" spans="1:7" x14ac:dyDescent="0.25">
      <c r="A51" s="211" t="s">
        <v>599</v>
      </c>
      <c r="B51" s="214" t="s">
        <v>592</v>
      </c>
      <c r="C51" s="42" t="s">
        <v>567</v>
      </c>
      <c r="D51" s="43" t="s">
        <v>580</v>
      </c>
      <c r="E51" s="42" t="s">
        <v>746</v>
      </c>
      <c r="F51" s="42" t="s">
        <v>963</v>
      </c>
      <c r="G51" s="213" t="s">
        <v>1009</v>
      </c>
    </row>
    <row r="52" spans="1:7" ht="31.5" x14ac:dyDescent="0.25">
      <c r="A52" s="211" t="s">
        <v>599</v>
      </c>
      <c r="B52" s="219" t="s">
        <v>592</v>
      </c>
      <c r="C52" s="42" t="s">
        <v>569</v>
      </c>
      <c r="D52" s="43" t="s">
        <v>582</v>
      </c>
      <c r="E52" s="42" t="s">
        <v>963</v>
      </c>
      <c r="F52" s="42" t="s">
        <v>963</v>
      </c>
      <c r="G52" s="213" t="s">
        <v>1010</v>
      </c>
    </row>
    <row r="53" spans="1:7" ht="47.25" x14ac:dyDescent="0.25">
      <c r="A53" s="211" t="s">
        <v>599</v>
      </c>
      <c r="B53" s="214" t="s">
        <v>592</v>
      </c>
      <c r="C53" s="42" t="s">
        <v>571</v>
      </c>
      <c r="D53" s="43" t="s">
        <v>910</v>
      </c>
      <c r="E53" s="42" t="s">
        <v>963</v>
      </c>
      <c r="F53" s="42" t="s">
        <v>963</v>
      </c>
      <c r="G53" s="213" t="s">
        <v>1011</v>
      </c>
    </row>
    <row r="54" spans="1:7" ht="47.25" x14ac:dyDescent="0.25">
      <c r="A54" s="211" t="s">
        <v>599</v>
      </c>
      <c r="B54" s="216" t="s">
        <v>592</v>
      </c>
      <c r="C54" s="42" t="s">
        <v>573</v>
      </c>
      <c r="D54" s="43" t="s">
        <v>583</v>
      </c>
      <c r="E54" s="42" t="s">
        <v>963</v>
      </c>
      <c r="F54" s="42" t="s">
        <v>763</v>
      </c>
      <c r="G54" s="213" t="s">
        <v>1012</v>
      </c>
    </row>
    <row r="55" spans="1:7" x14ac:dyDescent="0.25">
      <c r="A55" s="211" t="s">
        <v>600</v>
      </c>
      <c r="B55" s="212" t="s">
        <v>593</v>
      </c>
      <c r="C55" s="42" t="s">
        <v>576</v>
      </c>
      <c r="D55" s="43" t="s">
        <v>444</v>
      </c>
      <c r="E55" s="42" t="s">
        <v>963</v>
      </c>
      <c r="F55" s="42" t="s">
        <v>963</v>
      </c>
      <c r="G55" s="213" t="s">
        <v>998</v>
      </c>
    </row>
    <row r="56" spans="1:7" ht="31.5" x14ac:dyDescent="0.25">
      <c r="A56" s="211" t="s">
        <v>600</v>
      </c>
      <c r="B56" s="214" t="s">
        <v>593</v>
      </c>
      <c r="C56" s="42" t="s">
        <v>577</v>
      </c>
      <c r="D56" s="43" t="s">
        <v>911</v>
      </c>
      <c r="E56" s="42" t="s">
        <v>963</v>
      </c>
      <c r="F56" s="42" t="s">
        <v>963</v>
      </c>
      <c r="G56" s="213" t="s">
        <v>1013</v>
      </c>
    </row>
    <row r="57" spans="1:7" ht="47.25" x14ac:dyDescent="0.25">
      <c r="A57" s="211" t="s">
        <v>600</v>
      </c>
      <c r="B57" s="221" t="s">
        <v>593</v>
      </c>
      <c r="C57" s="42" t="s">
        <v>579</v>
      </c>
      <c r="D57" s="43" t="s">
        <v>584</v>
      </c>
      <c r="E57" s="42" t="s">
        <v>963</v>
      </c>
      <c r="F57" s="42" t="s">
        <v>763</v>
      </c>
      <c r="G57" s="213" t="s">
        <v>1014</v>
      </c>
    </row>
    <row r="58" spans="1:7" ht="31.5" x14ac:dyDescent="0.25">
      <c r="A58" s="211" t="s">
        <v>600</v>
      </c>
      <c r="B58" s="216" t="s">
        <v>593</v>
      </c>
      <c r="C58" s="42" t="s">
        <v>581</v>
      </c>
      <c r="D58" s="43" t="s">
        <v>20</v>
      </c>
      <c r="E58" s="42" t="s">
        <v>963</v>
      </c>
      <c r="F58" s="42" t="s">
        <v>963</v>
      </c>
      <c r="G58" s="213" t="s">
        <v>1015</v>
      </c>
    </row>
    <row r="59" spans="1:7" x14ac:dyDescent="0.25">
      <c r="A59" s="62">
        <v>2</v>
      </c>
      <c r="B59" s="63" t="s">
        <v>5</v>
      </c>
      <c r="C59" s="64"/>
      <c r="D59" s="222"/>
      <c r="E59" s="65" t="s">
        <v>963</v>
      </c>
      <c r="F59" s="65" t="s">
        <v>963</v>
      </c>
      <c r="G59" s="223" t="s">
        <v>963</v>
      </c>
    </row>
    <row r="60" spans="1:7" ht="31.5" x14ac:dyDescent="0.25">
      <c r="A60" s="211" t="s">
        <v>325</v>
      </c>
      <c r="B60" s="212" t="s">
        <v>22</v>
      </c>
      <c r="C60" s="42" t="s">
        <v>157</v>
      </c>
      <c r="D60" s="43" t="s">
        <v>10</v>
      </c>
      <c r="E60" s="224" t="s">
        <v>963</v>
      </c>
      <c r="F60" s="42" t="s">
        <v>762</v>
      </c>
      <c r="G60" s="213" t="s">
        <v>1016</v>
      </c>
    </row>
    <row r="61" spans="1:7" ht="31.5" x14ac:dyDescent="0.25">
      <c r="A61" s="211" t="s">
        <v>325</v>
      </c>
      <c r="B61" s="214" t="s">
        <v>22</v>
      </c>
      <c r="C61" s="42" t="s">
        <v>104</v>
      </c>
      <c r="D61" s="43" t="s">
        <v>601</v>
      </c>
      <c r="E61" s="42" t="s">
        <v>912</v>
      </c>
      <c r="F61" s="42" t="s">
        <v>762</v>
      </c>
      <c r="G61" s="213" t="s">
        <v>1017</v>
      </c>
    </row>
    <row r="62" spans="1:7" ht="31.5" x14ac:dyDescent="0.25">
      <c r="A62" s="211" t="s">
        <v>325</v>
      </c>
      <c r="B62" s="219" t="s">
        <v>22</v>
      </c>
      <c r="C62" s="42" t="s">
        <v>105</v>
      </c>
      <c r="D62" s="43" t="s">
        <v>913</v>
      </c>
      <c r="E62" s="42" t="s">
        <v>912</v>
      </c>
      <c r="F62" s="42" t="s">
        <v>762</v>
      </c>
      <c r="G62" s="213" t="s">
        <v>1018</v>
      </c>
    </row>
    <row r="63" spans="1:7" ht="31.5" x14ac:dyDescent="0.25">
      <c r="A63" s="211" t="s">
        <v>325</v>
      </c>
      <c r="B63" s="214" t="s">
        <v>22</v>
      </c>
      <c r="C63" s="42" t="s">
        <v>106</v>
      </c>
      <c r="D63" s="43" t="s">
        <v>602</v>
      </c>
      <c r="E63" s="42" t="s">
        <v>963</v>
      </c>
      <c r="F63" s="42" t="s">
        <v>762</v>
      </c>
      <c r="G63" s="213" t="s">
        <v>1019</v>
      </c>
    </row>
    <row r="64" spans="1:7" ht="31.5" x14ac:dyDescent="0.25">
      <c r="A64" s="211" t="s">
        <v>325</v>
      </c>
      <c r="B64" s="216" t="s">
        <v>22</v>
      </c>
      <c r="C64" s="42" t="s">
        <v>107</v>
      </c>
      <c r="D64" s="43" t="s">
        <v>459</v>
      </c>
      <c r="E64" s="42" t="s">
        <v>963</v>
      </c>
      <c r="F64" s="42" t="s">
        <v>762</v>
      </c>
      <c r="G64" s="213" t="s">
        <v>1020</v>
      </c>
    </row>
    <row r="65" spans="1:7" ht="31.5" x14ac:dyDescent="0.25">
      <c r="A65" s="211" t="s">
        <v>326</v>
      </c>
      <c r="B65" s="212" t="s">
        <v>25</v>
      </c>
      <c r="C65" s="42" t="s">
        <v>108</v>
      </c>
      <c r="D65" s="43" t="s">
        <v>6</v>
      </c>
      <c r="E65" s="42" t="s">
        <v>963</v>
      </c>
      <c r="F65" s="42" t="s">
        <v>762</v>
      </c>
      <c r="G65" s="213" t="s">
        <v>1021</v>
      </c>
    </row>
    <row r="66" spans="1:7" x14ac:dyDescent="0.25">
      <c r="A66" s="211" t="s">
        <v>326</v>
      </c>
      <c r="B66" s="214" t="s">
        <v>25</v>
      </c>
      <c r="C66" s="42" t="s">
        <v>109</v>
      </c>
      <c r="D66" s="43" t="s">
        <v>7</v>
      </c>
      <c r="E66" s="42" t="s">
        <v>963</v>
      </c>
      <c r="F66" s="42" t="s">
        <v>762</v>
      </c>
      <c r="G66" s="213" t="s">
        <v>1022</v>
      </c>
    </row>
    <row r="67" spans="1:7" ht="31.5" x14ac:dyDescent="0.25">
      <c r="A67" s="211" t="s">
        <v>326</v>
      </c>
      <c r="B67" s="214" t="s">
        <v>25</v>
      </c>
      <c r="C67" s="42" t="s">
        <v>110</v>
      </c>
      <c r="D67" s="43" t="s">
        <v>954</v>
      </c>
      <c r="E67" s="42" t="s">
        <v>963</v>
      </c>
      <c r="F67" s="42" t="s">
        <v>762</v>
      </c>
      <c r="G67" s="213" t="s">
        <v>1023</v>
      </c>
    </row>
    <row r="68" spans="1:7" ht="31.5" x14ac:dyDescent="0.25">
      <c r="A68" s="211" t="s">
        <v>326</v>
      </c>
      <c r="B68" s="214" t="s">
        <v>25</v>
      </c>
      <c r="C68" s="42" t="s">
        <v>111</v>
      </c>
      <c r="D68" s="43" t="s">
        <v>955</v>
      </c>
      <c r="E68" s="42" t="s">
        <v>963</v>
      </c>
      <c r="F68" s="42" t="s">
        <v>762</v>
      </c>
      <c r="G68" s="213" t="s">
        <v>1024</v>
      </c>
    </row>
    <row r="69" spans="1:7" x14ac:dyDescent="0.25">
      <c r="A69" s="211" t="s">
        <v>326</v>
      </c>
      <c r="B69" s="214" t="s">
        <v>25</v>
      </c>
      <c r="C69" s="42" t="s">
        <v>158</v>
      </c>
      <c r="D69" s="43" t="s">
        <v>460</v>
      </c>
      <c r="E69" s="42" t="s">
        <v>963</v>
      </c>
      <c r="F69" s="42" t="s">
        <v>762</v>
      </c>
      <c r="G69" s="213" t="s">
        <v>1025</v>
      </c>
    </row>
    <row r="70" spans="1:7" ht="31.5" x14ac:dyDescent="0.25">
      <c r="A70" s="211" t="s">
        <v>326</v>
      </c>
      <c r="B70" s="214" t="s">
        <v>25</v>
      </c>
      <c r="C70" s="42" t="s">
        <v>159</v>
      </c>
      <c r="D70" s="43" t="s">
        <v>461</v>
      </c>
      <c r="E70" s="42" t="s">
        <v>963</v>
      </c>
      <c r="F70" s="42" t="s">
        <v>762</v>
      </c>
      <c r="G70" s="213" t="s">
        <v>1026</v>
      </c>
    </row>
    <row r="71" spans="1:7" ht="47.25" x14ac:dyDescent="0.25">
      <c r="A71" s="211" t="s">
        <v>326</v>
      </c>
      <c r="B71" s="214" t="s">
        <v>25</v>
      </c>
      <c r="C71" s="42" t="s">
        <v>160</v>
      </c>
      <c r="D71" s="242" t="s">
        <v>1027</v>
      </c>
      <c r="E71" s="42" t="s">
        <v>963</v>
      </c>
      <c r="F71" s="42" t="s">
        <v>762</v>
      </c>
      <c r="G71" s="213" t="s">
        <v>1028</v>
      </c>
    </row>
    <row r="72" spans="1:7" x14ac:dyDescent="0.25">
      <c r="A72" s="211" t="s">
        <v>326</v>
      </c>
      <c r="B72" s="214" t="s">
        <v>25</v>
      </c>
      <c r="C72" s="42" t="s">
        <v>161</v>
      </c>
      <c r="D72" s="43" t="s">
        <v>8</v>
      </c>
      <c r="E72" s="42" t="s">
        <v>963</v>
      </c>
      <c r="F72" s="42" t="s">
        <v>762</v>
      </c>
      <c r="G72" s="213" t="s">
        <v>1029</v>
      </c>
    </row>
    <row r="73" spans="1:7" x14ac:dyDescent="0.25">
      <c r="A73" s="211" t="s">
        <v>326</v>
      </c>
      <c r="B73" s="214" t="s">
        <v>25</v>
      </c>
      <c r="C73" s="42" t="s">
        <v>162</v>
      </c>
      <c r="D73" s="43" t="s">
        <v>463</v>
      </c>
      <c r="E73" s="42" t="s">
        <v>963</v>
      </c>
      <c r="F73" s="42" t="s">
        <v>762</v>
      </c>
      <c r="G73" s="213" t="s">
        <v>1030</v>
      </c>
    </row>
    <row r="74" spans="1:7" ht="31.5" x14ac:dyDescent="0.25">
      <c r="A74" s="211" t="s">
        <v>326</v>
      </c>
      <c r="B74" s="214" t="s">
        <v>25</v>
      </c>
      <c r="C74" s="42" t="s">
        <v>163</v>
      </c>
      <c r="D74" s="43" t="s">
        <v>14</v>
      </c>
      <c r="E74" s="42" t="s">
        <v>963</v>
      </c>
      <c r="F74" s="42" t="s">
        <v>762</v>
      </c>
      <c r="G74" s="213" t="s">
        <v>1031</v>
      </c>
    </row>
    <row r="75" spans="1:7" x14ac:dyDescent="0.25">
      <c r="A75" s="211" t="s">
        <v>326</v>
      </c>
      <c r="B75" s="215" t="s">
        <v>25</v>
      </c>
      <c r="C75" s="42" t="s">
        <v>164</v>
      </c>
      <c r="D75" s="43" t="s">
        <v>9</v>
      </c>
      <c r="E75" s="42" t="s">
        <v>963</v>
      </c>
      <c r="F75" s="42" t="s">
        <v>762</v>
      </c>
      <c r="G75" s="213" t="s">
        <v>1032</v>
      </c>
    </row>
    <row r="76" spans="1:7" ht="47.25" x14ac:dyDescent="0.25">
      <c r="A76" s="211" t="s">
        <v>326</v>
      </c>
      <c r="B76" s="214" t="s">
        <v>25</v>
      </c>
      <c r="C76" s="42" t="s">
        <v>165</v>
      </c>
      <c r="D76" s="43" t="s">
        <v>603</v>
      </c>
      <c r="E76" s="42" t="s">
        <v>963</v>
      </c>
      <c r="F76" s="42" t="s">
        <v>762</v>
      </c>
      <c r="G76" s="213" t="s">
        <v>1033</v>
      </c>
    </row>
    <row r="77" spans="1:7" ht="31.5" x14ac:dyDescent="0.25">
      <c r="A77" s="211" t="s">
        <v>326</v>
      </c>
      <c r="B77" s="214" t="s">
        <v>25</v>
      </c>
      <c r="C77" s="42" t="s">
        <v>802</v>
      </c>
      <c r="D77" s="242" t="s">
        <v>1220</v>
      </c>
      <c r="E77" s="42" t="s">
        <v>963</v>
      </c>
      <c r="F77" s="42" t="s">
        <v>762</v>
      </c>
      <c r="G77" s="213" t="s">
        <v>1034</v>
      </c>
    </row>
    <row r="78" spans="1:7" ht="31.5" x14ac:dyDescent="0.25">
      <c r="A78" s="211" t="s">
        <v>326</v>
      </c>
      <c r="B78" s="214" t="s">
        <v>25</v>
      </c>
      <c r="C78" s="42" t="s">
        <v>166</v>
      </c>
      <c r="D78" s="43" t="s">
        <v>11</v>
      </c>
      <c r="E78" s="42" t="s">
        <v>963</v>
      </c>
      <c r="F78" s="42" t="s">
        <v>762</v>
      </c>
      <c r="G78" s="213" t="s">
        <v>1035</v>
      </c>
    </row>
    <row r="79" spans="1:7" ht="31.5" x14ac:dyDescent="0.25">
      <c r="A79" s="211" t="s">
        <v>326</v>
      </c>
      <c r="B79" s="214" t="s">
        <v>25</v>
      </c>
      <c r="C79" s="42" t="s">
        <v>167</v>
      </c>
      <c r="D79" s="43" t="s">
        <v>464</v>
      </c>
      <c r="E79" s="42" t="s">
        <v>963</v>
      </c>
      <c r="F79" s="42" t="s">
        <v>762</v>
      </c>
      <c r="G79" s="213" t="s">
        <v>1036</v>
      </c>
    </row>
    <row r="80" spans="1:7" ht="31.5" x14ac:dyDescent="0.25">
      <c r="A80" s="211" t="s">
        <v>326</v>
      </c>
      <c r="B80" s="214" t="s">
        <v>25</v>
      </c>
      <c r="C80" s="42" t="s">
        <v>168</v>
      </c>
      <c r="D80" s="43" t="s">
        <v>842</v>
      </c>
      <c r="E80" s="42" t="s">
        <v>963</v>
      </c>
      <c r="F80" s="42" t="s">
        <v>762</v>
      </c>
      <c r="G80" s="213" t="s">
        <v>1037</v>
      </c>
    </row>
    <row r="81" spans="1:7" ht="31.5" x14ac:dyDescent="0.25">
      <c r="A81" s="211" t="s">
        <v>326</v>
      </c>
      <c r="B81" s="214" t="s">
        <v>25</v>
      </c>
      <c r="C81" s="42" t="s">
        <v>169</v>
      </c>
      <c r="D81" s="242" t="s">
        <v>1222</v>
      </c>
      <c r="E81" s="42" t="s">
        <v>748</v>
      </c>
      <c r="F81" s="42" t="s">
        <v>762</v>
      </c>
      <c r="G81" s="213" t="s">
        <v>1038</v>
      </c>
    </row>
    <row r="82" spans="1:7" x14ac:dyDescent="0.25">
      <c r="A82" s="211" t="s">
        <v>326</v>
      </c>
      <c r="B82" s="214" t="s">
        <v>25</v>
      </c>
      <c r="C82" s="42" t="s">
        <v>170</v>
      </c>
      <c r="D82" s="43" t="s">
        <v>12</v>
      </c>
      <c r="E82" s="42" t="s">
        <v>748</v>
      </c>
      <c r="F82" s="42" t="s">
        <v>762</v>
      </c>
      <c r="G82" s="213" t="s">
        <v>1039</v>
      </c>
    </row>
    <row r="83" spans="1:7" ht="47.25" x14ac:dyDescent="0.25">
      <c r="A83" s="211" t="s">
        <v>326</v>
      </c>
      <c r="B83" s="214" t="s">
        <v>25</v>
      </c>
      <c r="C83" s="42" t="s">
        <v>171</v>
      </c>
      <c r="D83" s="243" t="s">
        <v>1223</v>
      </c>
      <c r="E83" s="42" t="s">
        <v>749</v>
      </c>
      <c r="F83" s="42" t="s">
        <v>762</v>
      </c>
      <c r="G83" s="213" t="s">
        <v>1040</v>
      </c>
    </row>
    <row r="84" spans="1:7" ht="31.5" x14ac:dyDescent="0.25">
      <c r="A84" s="211" t="s">
        <v>326</v>
      </c>
      <c r="B84" s="214" t="s">
        <v>25</v>
      </c>
      <c r="C84" s="42" t="s">
        <v>172</v>
      </c>
      <c r="D84" s="46" t="s">
        <v>914</v>
      </c>
      <c r="E84" s="42" t="s">
        <v>749</v>
      </c>
      <c r="F84" s="42" t="s">
        <v>762</v>
      </c>
      <c r="G84" s="213" t="s">
        <v>1041</v>
      </c>
    </row>
    <row r="85" spans="1:7" ht="47.25" x14ac:dyDescent="0.25">
      <c r="A85" s="211" t="s">
        <v>326</v>
      </c>
      <c r="B85" s="214" t="s">
        <v>25</v>
      </c>
      <c r="C85" s="42" t="s">
        <v>173</v>
      </c>
      <c r="D85" s="46" t="s">
        <v>843</v>
      </c>
      <c r="E85" s="42" t="s">
        <v>963</v>
      </c>
      <c r="F85" s="42" t="s">
        <v>762</v>
      </c>
      <c r="G85" s="213" t="s">
        <v>1042</v>
      </c>
    </row>
    <row r="86" spans="1:7" ht="47.25" x14ac:dyDescent="0.25">
      <c r="A86" s="211" t="s">
        <v>326</v>
      </c>
      <c r="B86" s="216" t="s">
        <v>25</v>
      </c>
      <c r="C86" s="42" t="s">
        <v>412</v>
      </c>
      <c r="D86" s="46" t="s">
        <v>604</v>
      </c>
      <c r="E86" s="42" t="s">
        <v>963</v>
      </c>
      <c r="F86" s="42" t="s">
        <v>763</v>
      </c>
      <c r="G86" s="213" t="s">
        <v>1043</v>
      </c>
    </row>
    <row r="87" spans="1:7" ht="31.5" x14ac:dyDescent="0.25">
      <c r="A87" s="211" t="s">
        <v>327</v>
      </c>
      <c r="B87" s="212" t="s">
        <v>23</v>
      </c>
      <c r="C87" s="42" t="s">
        <v>112</v>
      </c>
      <c r="D87" s="46" t="s">
        <v>465</v>
      </c>
      <c r="E87" s="42" t="s">
        <v>963</v>
      </c>
      <c r="F87" s="42" t="s">
        <v>762</v>
      </c>
      <c r="G87" s="213" t="s">
        <v>1044</v>
      </c>
    </row>
    <row r="88" spans="1:7" ht="31.5" x14ac:dyDescent="0.25">
      <c r="A88" s="211" t="s">
        <v>327</v>
      </c>
      <c r="B88" s="214" t="s">
        <v>23</v>
      </c>
      <c r="C88" s="42" t="s">
        <v>113</v>
      </c>
      <c r="D88" s="46" t="s">
        <v>466</v>
      </c>
      <c r="E88" s="42" t="s">
        <v>963</v>
      </c>
      <c r="F88" s="42" t="s">
        <v>762</v>
      </c>
      <c r="G88" s="213" t="s">
        <v>1045</v>
      </c>
    </row>
    <row r="89" spans="1:7" ht="31.5" x14ac:dyDescent="0.25">
      <c r="A89" s="211" t="s">
        <v>327</v>
      </c>
      <c r="B89" s="214" t="s">
        <v>23</v>
      </c>
      <c r="C89" s="42" t="s">
        <v>114</v>
      </c>
      <c r="D89" s="46" t="s">
        <v>13</v>
      </c>
      <c r="E89" s="42" t="s">
        <v>963</v>
      </c>
      <c r="F89" s="42" t="s">
        <v>762</v>
      </c>
      <c r="G89" s="213" t="s">
        <v>1046</v>
      </c>
    </row>
    <row r="90" spans="1:7" ht="31.5" x14ac:dyDescent="0.25">
      <c r="A90" s="211" t="s">
        <v>327</v>
      </c>
      <c r="B90" s="214" t="s">
        <v>23</v>
      </c>
      <c r="C90" s="42" t="s">
        <v>115</v>
      </c>
      <c r="D90" s="46" t="s">
        <v>469</v>
      </c>
      <c r="E90" s="42" t="s">
        <v>963</v>
      </c>
      <c r="F90" s="42" t="s">
        <v>762</v>
      </c>
      <c r="G90" s="213" t="s">
        <v>1047</v>
      </c>
    </row>
    <row r="91" spans="1:7" x14ac:dyDescent="0.25">
      <c r="A91" s="211" t="s">
        <v>327</v>
      </c>
      <c r="B91" s="219" t="s">
        <v>23</v>
      </c>
      <c r="C91" s="42" t="s">
        <v>116</v>
      </c>
      <c r="D91" s="46" t="s">
        <v>470</v>
      </c>
      <c r="E91" s="42" t="s">
        <v>963</v>
      </c>
      <c r="F91" s="42" t="s">
        <v>762</v>
      </c>
      <c r="G91" s="213" t="s">
        <v>1047</v>
      </c>
    </row>
    <row r="92" spans="1:7" x14ac:dyDescent="0.25">
      <c r="A92" s="211" t="s">
        <v>327</v>
      </c>
      <c r="B92" s="214" t="s">
        <v>23</v>
      </c>
      <c r="C92" s="42" t="s">
        <v>117</v>
      </c>
      <c r="D92" s="46" t="s">
        <v>468</v>
      </c>
      <c r="E92" s="42" t="s">
        <v>963</v>
      </c>
      <c r="F92" s="42" t="s">
        <v>762</v>
      </c>
      <c r="G92" s="213" t="s">
        <v>1048</v>
      </c>
    </row>
    <row r="93" spans="1:7" ht="31.5" x14ac:dyDescent="0.25">
      <c r="A93" s="211" t="s">
        <v>327</v>
      </c>
      <c r="B93" s="214" t="s">
        <v>23</v>
      </c>
      <c r="C93" s="42" t="s">
        <v>174</v>
      </c>
      <c r="D93" s="46" t="s">
        <v>789</v>
      </c>
      <c r="E93" s="42" t="s">
        <v>963</v>
      </c>
      <c r="F93" s="42" t="s">
        <v>762</v>
      </c>
      <c r="G93" s="213" t="s">
        <v>1047</v>
      </c>
    </row>
    <row r="94" spans="1:7" ht="31.5" x14ac:dyDescent="0.25">
      <c r="A94" s="211" t="s">
        <v>327</v>
      </c>
      <c r="B94" s="214" t="s">
        <v>23</v>
      </c>
      <c r="C94" s="42" t="s">
        <v>175</v>
      </c>
      <c r="D94" s="46" t="s">
        <v>462</v>
      </c>
      <c r="E94" s="42" t="s">
        <v>963</v>
      </c>
      <c r="F94" s="42" t="s">
        <v>762</v>
      </c>
      <c r="G94" s="213" t="s">
        <v>1049</v>
      </c>
    </row>
    <row r="95" spans="1:7" ht="31.5" x14ac:dyDescent="0.25">
      <c r="A95" s="211" t="s">
        <v>327</v>
      </c>
      <c r="B95" s="214" t="s">
        <v>23</v>
      </c>
      <c r="C95" s="42" t="s">
        <v>803</v>
      </c>
      <c r="D95" s="46" t="s">
        <v>915</v>
      </c>
      <c r="E95" s="42" t="s">
        <v>963</v>
      </c>
      <c r="F95" s="42" t="s">
        <v>762</v>
      </c>
      <c r="G95" s="213" t="s">
        <v>1050</v>
      </c>
    </row>
    <row r="96" spans="1:7" ht="31.5" x14ac:dyDescent="0.25">
      <c r="A96" s="211" t="s">
        <v>327</v>
      </c>
      <c r="B96" s="216" t="s">
        <v>23</v>
      </c>
      <c r="C96" s="42" t="s">
        <v>804</v>
      </c>
      <c r="D96" s="46" t="s">
        <v>467</v>
      </c>
      <c r="E96" s="42" t="s">
        <v>963</v>
      </c>
      <c r="F96" s="42" t="s">
        <v>762</v>
      </c>
      <c r="G96" s="213" t="s">
        <v>1051</v>
      </c>
    </row>
    <row r="97" spans="1:7" ht="47.25" x14ac:dyDescent="0.25">
      <c r="A97" s="211" t="s">
        <v>328</v>
      </c>
      <c r="B97" s="212" t="s">
        <v>24</v>
      </c>
      <c r="C97" s="42" t="s">
        <v>805</v>
      </c>
      <c r="D97" s="242" t="s">
        <v>472</v>
      </c>
      <c r="E97" s="42" t="s">
        <v>747</v>
      </c>
      <c r="F97" s="42" t="s">
        <v>762</v>
      </c>
      <c r="G97" s="213" t="s">
        <v>1052</v>
      </c>
    </row>
    <row r="98" spans="1:7" ht="47.25" x14ac:dyDescent="0.25">
      <c r="A98" s="211" t="s">
        <v>328</v>
      </c>
      <c r="B98" s="214" t="s">
        <v>24</v>
      </c>
      <c r="C98" s="42" t="s">
        <v>806</v>
      </c>
      <c r="D98" s="46" t="s">
        <v>472</v>
      </c>
      <c r="E98" s="42" t="s">
        <v>747</v>
      </c>
      <c r="F98" s="42" t="s">
        <v>762</v>
      </c>
      <c r="G98" s="213" t="s">
        <v>1053</v>
      </c>
    </row>
    <row r="99" spans="1:7" ht="47.25" x14ac:dyDescent="0.25">
      <c r="A99" s="211" t="s">
        <v>328</v>
      </c>
      <c r="B99" s="214" t="s">
        <v>24</v>
      </c>
      <c r="C99" s="42" t="s">
        <v>807</v>
      </c>
      <c r="D99" s="46" t="s">
        <v>844</v>
      </c>
      <c r="E99" s="42" t="s">
        <v>747</v>
      </c>
      <c r="F99" s="42" t="s">
        <v>762</v>
      </c>
      <c r="G99" s="213" t="s">
        <v>1054</v>
      </c>
    </row>
    <row r="100" spans="1:7" ht="31.5" x14ac:dyDescent="0.25">
      <c r="A100" s="211" t="s">
        <v>328</v>
      </c>
      <c r="B100" s="221" t="s">
        <v>24</v>
      </c>
      <c r="C100" s="42" t="s">
        <v>808</v>
      </c>
      <c r="D100" s="46" t="s">
        <v>845</v>
      </c>
      <c r="E100" s="42" t="s">
        <v>747</v>
      </c>
      <c r="F100" s="42" t="s">
        <v>762</v>
      </c>
      <c r="G100" s="225" t="s">
        <v>1055</v>
      </c>
    </row>
    <row r="101" spans="1:7" ht="47.25" x14ac:dyDescent="0.25">
      <c r="A101" s="211" t="s">
        <v>328</v>
      </c>
      <c r="B101" s="214" t="s">
        <v>24</v>
      </c>
      <c r="C101" s="42" t="s">
        <v>809</v>
      </c>
      <c r="D101" s="43" t="s">
        <v>846</v>
      </c>
      <c r="E101" s="42" t="s">
        <v>747</v>
      </c>
      <c r="F101" s="42" t="s">
        <v>762</v>
      </c>
      <c r="G101" s="213" t="s">
        <v>1056</v>
      </c>
    </row>
    <row r="102" spans="1:7" ht="47.25" x14ac:dyDescent="0.25">
      <c r="A102" s="211" t="s">
        <v>328</v>
      </c>
      <c r="B102" s="216" t="s">
        <v>24</v>
      </c>
      <c r="C102" s="42" t="s">
        <v>810</v>
      </c>
      <c r="D102" s="43" t="s">
        <v>471</v>
      </c>
      <c r="E102" s="42" t="s">
        <v>963</v>
      </c>
      <c r="F102" s="42" t="s">
        <v>762</v>
      </c>
      <c r="G102" s="213" t="s">
        <v>1057</v>
      </c>
    </row>
    <row r="103" spans="1:7" ht="47.25" x14ac:dyDescent="0.25">
      <c r="A103" s="211" t="s">
        <v>916</v>
      </c>
      <c r="B103" s="212" t="s">
        <v>917</v>
      </c>
      <c r="C103" s="42" t="s">
        <v>918</v>
      </c>
      <c r="D103" s="242" t="s">
        <v>1058</v>
      </c>
      <c r="E103" s="42" t="s">
        <v>963</v>
      </c>
      <c r="F103" s="42" t="s">
        <v>963</v>
      </c>
      <c r="G103" s="213" t="s">
        <v>1059</v>
      </c>
    </row>
    <row r="104" spans="1:7" ht="31.5" x14ac:dyDescent="0.25">
      <c r="A104" s="211" t="s">
        <v>916</v>
      </c>
      <c r="B104" s="215" t="s">
        <v>917</v>
      </c>
      <c r="C104" s="42" t="s">
        <v>919</v>
      </c>
      <c r="D104" s="242" t="s">
        <v>1226</v>
      </c>
      <c r="E104" s="42" t="s">
        <v>963</v>
      </c>
      <c r="F104" s="42" t="s">
        <v>963</v>
      </c>
      <c r="G104" s="213" t="s">
        <v>1060</v>
      </c>
    </row>
    <row r="105" spans="1:7" ht="31.5" x14ac:dyDescent="0.25">
      <c r="A105" s="211" t="s">
        <v>916</v>
      </c>
      <c r="B105" s="216" t="s">
        <v>917</v>
      </c>
      <c r="C105" s="42" t="s">
        <v>920</v>
      </c>
      <c r="D105" s="242" t="s">
        <v>1227</v>
      </c>
      <c r="E105" s="42" t="s">
        <v>963</v>
      </c>
      <c r="F105" s="42" t="s">
        <v>963</v>
      </c>
      <c r="G105" s="213" t="s">
        <v>1061</v>
      </c>
    </row>
    <row r="106" spans="1:7" x14ac:dyDescent="0.25">
      <c r="A106" s="62">
        <v>3</v>
      </c>
      <c r="B106" s="63" t="s">
        <v>26</v>
      </c>
      <c r="C106" s="64"/>
      <c r="D106" s="222"/>
      <c r="E106" s="65"/>
      <c r="F106" s="65"/>
      <c r="G106" s="223"/>
    </row>
    <row r="107" spans="1:7" x14ac:dyDescent="0.25">
      <c r="A107" s="211" t="s">
        <v>334</v>
      </c>
      <c r="B107" s="44" t="s">
        <v>36</v>
      </c>
      <c r="C107" s="42" t="s">
        <v>193</v>
      </c>
      <c r="D107" s="43" t="s">
        <v>921</v>
      </c>
      <c r="E107" s="42" t="s">
        <v>759</v>
      </c>
      <c r="F107" s="42" t="s">
        <v>963</v>
      </c>
      <c r="G107" s="213" t="s">
        <v>1062</v>
      </c>
    </row>
    <row r="108" spans="1:7" x14ac:dyDescent="0.25">
      <c r="A108" s="211" t="s">
        <v>335</v>
      </c>
      <c r="B108" s="212" t="s">
        <v>508</v>
      </c>
      <c r="C108" s="42" t="s">
        <v>194</v>
      </c>
      <c r="D108" s="43" t="s">
        <v>605</v>
      </c>
      <c r="E108" s="42" t="s">
        <v>963</v>
      </c>
      <c r="F108" s="42" t="s">
        <v>963</v>
      </c>
      <c r="G108" s="213" t="s">
        <v>1063</v>
      </c>
    </row>
    <row r="109" spans="1:7" x14ac:dyDescent="0.25">
      <c r="A109" s="211" t="s">
        <v>335</v>
      </c>
      <c r="B109" s="219" t="s">
        <v>508</v>
      </c>
      <c r="C109" s="42" t="s">
        <v>195</v>
      </c>
      <c r="D109" s="43" t="s">
        <v>606</v>
      </c>
      <c r="E109" s="42" t="s">
        <v>963</v>
      </c>
      <c r="F109" s="42" t="s">
        <v>963</v>
      </c>
      <c r="G109" s="213" t="s">
        <v>1063</v>
      </c>
    </row>
    <row r="110" spans="1:7" x14ac:dyDescent="0.25">
      <c r="A110" s="211" t="s">
        <v>335</v>
      </c>
      <c r="B110" s="214" t="s">
        <v>508</v>
      </c>
      <c r="C110" s="42" t="s">
        <v>196</v>
      </c>
      <c r="D110" s="43" t="s">
        <v>607</v>
      </c>
      <c r="E110" s="42" t="s">
        <v>963</v>
      </c>
      <c r="F110" s="42" t="s">
        <v>963</v>
      </c>
      <c r="G110" s="213" t="s">
        <v>1063</v>
      </c>
    </row>
    <row r="111" spans="1:7" ht="31.5" x14ac:dyDescent="0.25">
      <c r="A111" s="211" t="s">
        <v>335</v>
      </c>
      <c r="B111" s="216" t="s">
        <v>508</v>
      </c>
      <c r="C111" s="42" t="s">
        <v>197</v>
      </c>
      <c r="D111" s="43" t="s">
        <v>51</v>
      </c>
      <c r="E111" s="42" t="s">
        <v>963</v>
      </c>
      <c r="F111" s="42" t="s">
        <v>963</v>
      </c>
      <c r="G111" s="213" t="s">
        <v>1063</v>
      </c>
    </row>
    <row r="112" spans="1:7" ht="31.5" x14ac:dyDescent="0.25">
      <c r="A112" s="211" t="s">
        <v>336</v>
      </c>
      <c r="B112" s="212" t="s">
        <v>636</v>
      </c>
      <c r="C112" s="42" t="s">
        <v>198</v>
      </c>
      <c r="D112" s="43" t="s">
        <v>922</v>
      </c>
      <c r="E112" s="42" t="s">
        <v>963</v>
      </c>
      <c r="F112" s="42" t="s">
        <v>963</v>
      </c>
      <c r="G112" s="213" t="s">
        <v>1064</v>
      </c>
    </row>
    <row r="113" spans="1:7" ht="31.5" x14ac:dyDescent="0.25">
      <c r="A113" s="211" t="s">
        <v>336</v>
      </c>
      <c r="B113" s="214" t="s">
        <v>636</v>
      </c>
      <c r="C113" s="42" t="s">
        <v>199</v>
      </c>
      <c r="D113" s="43" t="s">
        <v>923</v>
      </c>
      <c r="E113" s="42" t="s">
        <v>963</v>
      </c>
      <c r="F113" s="42" t="s">
        <v>963</v>
      </c>
      <c r="G113" s="213" t="s">
        <v>1064</v>
      </c>
    </row>
    <row r="114" spans="1:7" ht="31.5" x14ac:dyDescent="0.25">
      <c r="A114" s="211" t="s">
        <v>336</v>
      </c>
      <c r="B114" s="219" t="s">
        <v>636</v>
      </c>
      <c r="C114" s="42" t="s">
        <v>200</v>
      </c>
      <c r="D114" s="43" t="s">
        <v>52</v>
      </c>
      <c r="E114" s="42" t="s">
        <v>963</v>
      </c>
      <c r="F114" s="42" t="s">
        <v>963</v>
      </c>
      <c r="G114" s="213" t="s">
        <v>1064</v>
      </c>
    </row>
    <row r="115" spans="1:7" ht="31.5" x14ac:dyDescent="0.25">
      <c r="A115" s="211" t="s">
        <v>336</v>
      </c>
      <c r="B115" s="214" t="s">
        <v>636</v>
      </c>
      <c r="C115" s="42" t="s">
        <v>201</v>
      </c>
      <c r="D115" s="43" t="s">
        <v>924</v>
      </c>
      <c r="E115" s="42" t="s">
        <v>963</v>
      </c>
      <c r="F115" s="42" t="s">
        <v>963</v>
      </c>
      <c r="G115" s="213" t="s">
        <v>1064</v>
      </c>
    </row>
    <row r="116" spans="1:7" ht="31.5" x14ac:dyDescent="0.25">
      <c r="A116" s="211" t="s">
        <v>336</v>
      </c>
      <c r="B116" s="216" t="s">
        <v>636</v>
      </c>
      <c r="C116" s="42" t="s">
        <v>608</v>
      </c>
      <c r="D116" s="43" t="s">
        <v>847</v>
      </c>
      <c r="E116" s="42" t="s">
        <v>963</v>
      </c>
      <c r="F116" s="42" t="s">
        <v>763</v>
      </c>
      <c r="G116" s="213" t="s">
        <v>1065</v>
      </c>
    </row>
    <row r="117" spans="1:7" x14ac:dyDescent="0.25">
      <c r="A117" s="211" t="s">
        <v>337</v>
      </c>
      <c r="B117" s="218" t="s">
        <v>37</v>
      </c>
      <c r="C117" s="42" t="s">
        <v>202</v>
      </c>
      <c r="D117" s="43" t="s">
        <v>609</v>
      </c>
      <c r="E117" s="42" t="s">
        <v>963</v>
      </c>
      <c r="F117" s="42" t="s">
        <v>963</v>
      </c>
      <c r="G117" s="213" t="s">
        <v>1066</v>
      </c>
    </row>
    <row r="118" spans="1:7" x14ac:dyDescent="0.25">
      <c r="A118" s="211" t="s">
        <v>337</v>
      </c>
      <c r="B118" s="216" t="s">
        <v>37</v>
      </c>
      <c r="C118" s="42" t="s">
        <v>203</v>
      </c>
      <c r="D118" s="43" t="s">
        <v>610</v>
      </c>
      <c r="E118" s="42" t="s">
        <v>963</v>
      </c>
      <c r="F118" s="42" t="s">
        <v>963</v>
      </c>
      <c r="G118" s="213" t="s">
        <v>1066</v>
      </c>
    </row>
    <row r="119" spans="1:7" ht="47.25" x14ac:dyDescent="0.25">
      <c r="A119" s="211" t="s">
        <v>338</v>
      </c>
      <c r="B119" s="212" t="s">
        <v>39</v>
      </c>
      <c r="C119" s="42" t="s">
        <v>204</v>
      </c>
      <c r="D119" s="43" t="s">
        <v>611</v>
      </c>
      <c r="E119" s="42" t="s">
        <v>963</v>
      </c>
      <c r="F119" s="42" t="s">
        <v>762</v>
      </c>
      <c r="G119" s="213" t="s">
        <v>1067</v>
      </c>
    </row>
    <row r="120" spans="1:7" ht="45" x14ac:dyDescent="0.25">
      <c r="A120" s="211" t="s">
        <v>338</v>
      </c>
      <c r="B120" s="221" t="s">
        <v>39</v>
      </c>
      <c r="C120" s="42" t="s">
        <v>205</v>
      </c>
      <c r="D120" s="43" t="s">
        <v>925</v>
      </c>
      <c r="E120" s="42" t="s">
        <v>926</v>
      </c>
      <c r="F120" s="42" t="s">
        <v>762</v>
      </c>
      <c r="G120" s="213" t="s">
        <v>1068</v>
      </c>
    </row>
    <row r="121" spans="1:7" ht="47.25" x14ac:dyDescent="0.25">
      <c r="A121" s="211" t="s">
        <v>338</v>
      </c>
      <c r="B121" s="226" t="s">
        <v>39</v>
      </c>
      <c r="C121" s="42" t="s">
        <v>206</v>
      </c>
      <c r="D121" s="43" t="s">
        <v>54</v>
      </c>
      <c r="E121" s="42" t="s">
        <v>963</v>
      </c>
      <c r="F121" s="42" t="s">
        <v>762</v>
      </c>
      <c r="G121" s="213" t="s">
        <v>1067</v>
      </c>
    </row>
    <row r="122" spans="1:7" ht="47.25" x14ac:dyDescent="0.25">
      <c r="A122" s="211" t="s">
        <v>338</v>
      </c>
      <c r="B122" s="216" t="s">
        <v>39</v>
      </c>
      <c r="C122" s="42" t="s">
        <v>207</v>
      </c>
      <c r="D122" s="43" t="s">
        <v>473</v>
      </c>
      <c r="E122" s="42" t="s">
        <v>963</v>
      </c>
      <c r="F122" s="42" t="s">
        <v>762</v>
      </c>
      <c r="G122" s="213" t="s">
        <v>1067</v>
      </c>
    </row>
    <row r="123" spans="1:7" x14ac:dyDescent="0.25">
      <c r="A123" s="211" t="s">
        <v>339</v>
      </c>
      <c r="B123" s="212" t="s">
        <v>40</v>
      </c>
      <c r="C123" s="42" t="s">
        <v>208</v>
      </c>
      <c r="D123" s="43" t="s">
        <v>474</v>
      </c>
      <c r="E123" s="42" t="s">
        <v>963</v>
      </c>
      <c r="F123" s="42" t="s">
        <v>762</v>
      </c>
      <c r="G123" s="213" t="s">
        <v>1066</v>
      </c>
    </row>
    <row r="124" spans="1:7" ht="31.5" x14ac:dyDescent="0.25">
      <c r="A124" s="211" t="s">
        <v>339</v>
      </c>
      <c r="B124" s="220" t="s">
        <v>40</v>
      </c>
      <c r="C124" s="42" t="s">
        <v>209</v>
      </c>
      <c r="D124" s="43" t="s">
        <v>475</v>
      </c>
      <c r="E124" s="42" t="s">
        <v>963</v>
      </c>
      <c r="F124" s="42" t="s">
        <v>762</v>
      </c>
      <c r="G124" s="213" t="s">
        <v>1066</v>
      </c>
    </row>
    <row r="125" spans="1:7" x14ac:dyDescent="0.25">
      <c r="A125" s="211" t="s">
        <v>339</v>
      </c>
      <c r="B125" s="214" t="s">
        <v>40</v>
      </c>
      <c r="C125" s="42" t="s">
        <v>210</v>
      </c>
      <c r="D125" s="43" t="s">
        <v>55</v>
      </c>
      <c r="E125" s="42" t="s">
        <v>963</v>
      </c>
      <c r="F125" s="42" t="s">
        <v>762</v>
      </c>
      <c r="G125" s="213" t="s">
        <v>1066</v>
      </c>
    </row>
    <row r="126" spans="1:7" x14ac:dyDescent="0.25">
      <c r="A126" s="211" t="s">
        <v>339</v>
      </c>
      <c r="B126" s="216" t="s">
        <v>40</v>
      </c>
      <c r="C126" s="42" t="s">
        <v>211</v>
      </c>
      <c r="D126" s="43" t="s">
        <v>56</v>
      </c>
      <c r="E126" s="42" t="s">
        <v>926</v>
      </c>
      <c r="F126" s="42" t="s">
        <v>762</v>
      </c>
      <c r="G126" s="213" t="s">
        <v>1066</v>
      </c>
    </row>
    <row r="127" spans="1:7" x14ac:dyDescent="0.25">
      <c r="A127" s="211" t="s">
        <v>340</v>
      </c>
      <c r="B127" s="212" t="s">
        <v>41</v>
      </c>
      <c r="C127" s="42" t="s">
        <v>212</v>
      </c>
      <c r="D127" s="43" t="s">
        <v>57</v>
      </c>
      <c r="E127" s="42" t="s">
        <v>963</v>
      </c>
      <c r="F127" s="42" t="s">
        <v>963</v>
      </c>
      <c r="G127" s="213" t="s">
        <v>1066</v>
      </c>
    </row>
    <row r="128" spans="1:7" x14ac:dyDescent="0.25">
      <c r="A128" s="211" t="s">
        <v>340</v>
      </c>
      <c r="B128" s="220" t="s">
        <v>41</v>
      </c>
      <c r="C128" s="42" t="s">
        <v>213</v>
      </c>
      <c r="D128" s="43" t="s">
        <v>58</v>
      </c>
      <c r="E128" s="42" t="s">
        <v>963</v>
      </c>
      <c r="F128" s="42" t="s">
        <v>963</v>
      </c>
      <c r="G128" s="213" t="s">
        <v>1066</v>
      </c>
    </row>
    <row r="129" spans="1:7" ht="31.5" x14ac:dyDescent="0.25">
      <c r="A129" s="211" t="s">
        <v>340</v>
      </c>
      <c r="B129" s="216" t="s">
        <v>41</v>
      </c>
      <c r="C129" s="42" t="s">
        <v>612</v>
      </c>
      <c r="D129" s="43" t="s">
        <v>788</v>
      </c>
      <c r="E129" s="42" t="s">
        <v>963</v>
      </c>
      <c r="F129" s="42" t="s">
        <v>763</v>
      </c>
      <c r="G129" s="213" t="s">
        <v>1066</v>
      </c>
    </row>
    <row r="130" spans="1:7" x14ac:dyDescent="0.25">
      <c r="A130" s="211" t="s">
        <v>341</v>
      </c>
      <c r="B130" s="212" t="s">
        <v>47</v>
      </c>
      <c r="C130" s="42" t="s">
        <v>214</v>
      </c>
      <c r="D130" s="43" t="s">
        <v>476</v>
      </c>
      <c r="E130" s="42" t="s">
        <v>963</v>
      </c>
      <c r="F130" s="42" t="s">
        <v>963</v>
      </c>
      <c r="G130" s="213" t="s">
        <v>1066</v>
      </c>
    </row>
    <row r="131" spans="1:7" x14ac:dyDescent="0.25">
      <c r="A131" s="211" t="s">
        <v>341</v>
      </c>
      <c r="B131" s="214" t="s">
        <v>47</v>
      </c>
      <c r="C131" s="42" t="s">
        <v>215</v>
      </c>
      <c r="D131" s="43" t="s">
        <v>59</v>
      </c>
      <c r="E131" s="42" t="s">
        <v>963</v>
      </c>
      <c r="F131" s="42" t="s">
        <v>963</v>
      </c>
      <c r="G131" s="213" t="s">
        <v>1066</v>
      </c>
    </row>
    <row r="132" spans="1:7" x14ac:dyDescent="0.25">
      <c r="A132" s="211" t="s">
        <v>341</v>
      </c>
      <c r="B132" s="214" t="s">
        <v>47</v>
      </c>
      <c r="C132" s="42" t="s">
        <v>216</v>
      </c>
      <c r="D132" s="43" t="s">
        <v>60</v>
      </c>
      <c r="E132" s="42" t="s">
        <v>963</v>
      </c>
      <c r="F132" s="42" t="s">
        <v>963</v>
      </c>
      <c r="G132" s="213" t="s">
        <v>1066</v>
      </c>
    </row>
    <row r="133" spans="1:7" ht="31.5" x14ac:dyDescent="0.25">
      <c r="A133" s="211" t="s">
        <v>341</v>
      </c>
      <c r="B133" s="214" t="s">
        <v>47</v>
      </c>
      <c r="C133" s="42" t="s">
        <v>217</v>
      </c>
      <c r="D133" s="43" t="s">
        <v>61</v>
      </c>
      <c r="E133" s="42" t="s">
        <v>963</v>
      </c>
      <c r="F133" s="42" t="s">
        <v>763</v>
      </c>
      <c r="G133" s="213" t="s">
        <v>1066</v>
      </c>
    </row>
    <row r="134" spans="1:7" ht="31.5" x14ac:dyDescent="0.25">
      <c r="A134" s="211" t="s">
        <v>341</v>
      </c>
      <c r="B134" s="220" t="s">
        <v>47</v>
      </c>
      <c r="C134" s="42" t="s">
        <v>242</v>
      </c>
      <c r="D134" s="43" t="s">
        <v>613</v>
      </c>
      <c r="E134" s="42" t="s">
        <v>963</v>
      </c>
      <c r="F134" s="42" t="s">
        <v>963</v>
      </c>
      <c r="G134" s="213" t="s">
        <v>1069</v>
      </c>
    </row>
    <row r="135" spans="1:7" x14ac:dyDescent="0.25">
      <c r="A135" s="211" t="s">
        <v>341</v>
      </c>
      <c r="B135" s="214" t="s">
        <v>47</v>
      </c>
      <c r="C135" s="42" t="s">
        <v>811</v>
      </c>
      <c r="D135" s="43" t="s">
        <v>615</v>
      </c>
      <c r="E135" s="42" t="s">
        <v>963</v>
      </c>
      <c r="F135" s="42" t="s">
        <v>763</v>
      </c>
      <c r="G135" s="213" t="s">
        <v>1070</v>
      </c>
    </row>
    <row r="136" spans="1:7" ht="47.25" x14ac:dyDescent="0.25">
      <c r="A136" s="211" t="s">
        <v>341</v>
      </c>
      <c r="B136" s="214" t="s">
        <v>47</v>
      </c>
      <c r="C136" s="42" t="s">
        <v>614</v>
      </c>
      <c r="D136" s="43" t="s">
        <v>833</v>
      </c>
      <c r="E136" s="42" t="s">
        <v>963</v>
      </c>
      <c r="F136" s="42" t="s">
        <v>763</v>
      </c>
      <c r="G136" s="213" t="s">
        <v>1069</v>
      </c>
    </row>
    <row r="137" spans="1:7" ht="31.5" x14ac:dyDescent="0.25">
      <c r="A137" s="211" t="s">
        <v>341</v>
      </c>
      <c r="B137" s="216" t="s">
        <v>47</v>
      </c>
      <c r="C137" s="42" t="s">
        <v>616</v>
      </c>
      <c r="D137" s="43" t="s">
        <v>617</v>
      </c>
      <c r="E137" s="42" t="s">
        <v>963</v>
      </c>
      <c r="F137" s="42" t="s">
        <v>763</v>
      </c>
      <c r="G137" s="213" t="s">
        <v>1071</v>
      </c>
    </row>
    <row r="138" spans="1:7" ht="31.5" x14ac:dyDescent="0.25">
      <c r="A138" s="211" t="s">
        <v>342</v>
      </c>
      <c r="B138" s="212" t="s">
        <v>637</v>
      </c>
      <c r="C138" s="42" t="s">
        <v>221</v>
      </c>
      <c r="D138" s="43" t="s">
        <v>62</v>
      </c>
      <c r="E138" s="42" t="s">
        <v>963</v>
      </c>
      <c r="F138" s="42" t="s">
        <v>963</v>
      </c>
      <c r="G138" s="213" t="s">
        <v>1072</v>
      </c>
    </row>
    <row r="139" spans="1:7" ht="31.5" x14ac:dyDescent="0.25">
      <c r="A139" s="211" t="s">
        <v>342</v>
      </c>
      <c r="B139" s="220" t="s">
        <v>637</v>
      </c>
      <c r="C139" s="42" t="s">
        <v>222</v>
      </c>
      <c r="D139" s="43" t="s">
        <v>477</v>
      </c>
      <c r="E139" s="42" t="s">
        <v>963</v>
      </c>
      <c r="F139" s="42" t="s">
        <v>963</v>
      </c>
      <c r="G139" s="213" t="s">
        <v>1072</v>
      </c>
    </row>
    <row r="140" spans="1:7" ht="31.5" x14ac:dyDescent="0.25">
      <c r="A140" s="211" t="s">
        <v>342</v>
      </c>
      <c r="B140" s="216" t="s">
        <v>637</v>
      </c>
      <c r="C140" s="42" t="s">
        <v>618</v>
      </c>
      <c r="D140" s="43" t="s">
        <v>619</v>
      </c>
      <c r="E140" s="42" t="s">
        <v>963</v>
      </c>
      <c r="F140" s="42" t="s">
        <v>763</v>
      </c>
      <c r="G140" s="213" t="s">
        <v>1073</v>
      </c>
    </row>
    <row r="141" spans="1:7" ht="31.5" x14ac:dyDescent="0.25">
      <c r="A141" s="211" t="s">
        <v>343</v>
      </c>
      <c r="B141" s="212" t="s">
        <v>45</v>
      </c>
      <c r="C141" s="42" t="s">
        <v>220</v>
      </c>
      <c r="D141" s="43" t="s">
        <v>66</v>
      </c>
      <c r="E141" s="42" t="s">
        <v>756</v>
      </c>
      <c r="F141" s="42" t="s">
        <v>963</v>
      </c>
      <c r="G141" s="213" t="s">
        <v>1074</v>
      </c>
    </row>
    <row r="142" spans="1:7" ht="31.5" x14ac:dyDescent="0.25">
      <c r="A142" s="211" t="s">
        <v>343</v>
      </c>
      <c r="B142" s="214" t="s">
        <v>45</v>
      </c>
      <c r="C142" s="42" t="s">
        <v>218</v>
      </c>
      <c r="D142" s="43" t="s">
        <v>478</v>
      </c>
      <c r="E142" s="42" t="s">
        <v>756</v>
      </c>
      <c r="F142" s="42" t="s">
        <v>963</v>
      </c>
      <c r="G142" s="213" t="s">
        <v>1074</v>
      </c>
    </row>
    <row r="143" spans="1:7" ht="47.25" x14ac:dyDescent="0.25">
      <c r="A143" s="211" t="s">
        <v>343</v>
      </c>
      <c r="B143" s="215" t="s">
        <v>45</v>
      </c>
      <c r="C143" s="42" t="s">
        <v>219</v>
      </c>
      <c r="D143" s="43" t="s">
        <v>783</v>
      </c>
      <c r="E143" s="42" t="s">
        <v>963</v>
      </c>
      <c r="F143" s="42" t="s">
        <v>763</v>
      </c>
      <c r="G143" s="213" t="s">
        <v>1074</v>
      </c>
    </row>
    <row r="144" spans="1:7" x14ac:dyDescent="0.25">
      <c r="A144" s="211" t="s">
        <v>343</v>
      </c>
      <c r="B144" s="216" t="s">
        <v>45</v>
      </c>
      <c r="C144" s="42" t="s">
        <v>620</v>
      </c>
      <c r="D144" s="43" t="s">
        <v>425</v>
      </c>
      <c r="E144" s="42" t="s">
        <v>756</v>
      </c>
      <c r="F144" s="42" t="s">
        <v>762</v>
      </c>
      <c r="G144" s="213" t="s">
        <v>1075</v>
      </c>
    </row>
    <row r="145" spans="1:7" ht="31.5" x14ac:dyDescent="0.25">
      <c r="A145" s="211" t="s">
        <v>344</v>
      </c>
      <c r="B145" s="227" t="s">
        <v>243</v>
      </c>
      <c r="C145" s="42" t="s">
        <v>244</v>
      </c>
      <c r="D145" s="43" t="s">
        <v>848</v>
      </c>
      <c r="E145" s="42" t="s">
        <v>963</v>
      </c>
      <c r="F145" s="42" t="s">
        <v>762</v>
      </c>
      <c r="G145" s="213" t="s">
        <v>1066</v>
      </c>
    </row>
    <row r="146" spans="1:7" x14ac:dyDescent="0.25">
      <c r="A146" s="211" t="s">
        <v>344</v>
      </c>
      <c r="B146" s="228" t="s">
        <v>243</v>
      </c>
      <c r="C146" s="42" t="s">
        <v>812</v>
      </c>
      <c r="D146" s="43" t="s">
        <v>123</v>
      </c>
      <c r="E146" s="42" t="s">
        <v>963</v>
      </c>
      <c r="F146" s="42" t="s">
        <v>762</v>
      </c>
      <c r="G146" s="213" t="s">
        <v>1066</v>
      </c>
    </row>
    <row r="147" spans="1:7" x14ac:dyDescent="0.25">
      <c r="A147" s="211" t="s">
        <v>344</v>
      </c>
      <c r="B147" s="216" t="s">
        <v>243</v>
      </c>
      <c r="C147" s="42" t="s">
        <v>813</v>
      </c>
      <c r="D147" s="43" t="s">
        <v>124</v>
      </c>
      <c r="E147" s="42" t="s">
        <v>963</v>
      </c>
      <c r="F147" s="42" t="s">
        <v>762</v>
      </c>
      <c r="G147" s="213" t="s">
        <v>1066</v>
      </c>
    </row>
    <row r="148" spans="1:7" ht="31.5" x14ac:dyDescent="0.25">
      <c r="A148" s="211" t="s">
        <v>345</v>
      </c>
      <c r="B148" s="212" t="s">
        <v>43</v>
      </c>
      <c r="C148" s="42" t="s">
        <v>223</v>
      </c>
      <c r="D148" s="43" t="s">
        <v>479</v>
      </c>
      <c r="E148" s="42" t="s">
        <v>758</v>
      </c>
      <c r="F148" s="42" t="s">
        <v>762</v>
      </c>
      <c r="G148" s="213" t="s">
        <v>1076</v>
      </c>
    </row>
    <row r="149" spans="1:7" ht="31.5" x14ac:dyDescent="0.25">
      <c r="A149" s="211" t="s">
        <v>345</v>
      </c>
      <c r="B149" s="214" t="s">
        <v>43</v>
      </c>
      <c r="C149" s="42" t="s">
        <v>224</v>
      </c>
      <c r="D149" s="43" t="s">
        <v>63</v>
      </c>
      <c r="E149" s="42" t="s">
        <v>758</v>
      </c>
      <c r="F149" s="42" t="s">
        <v>762</v>
      </c>
      <c r="G149" s="213" t="s">
        <v>1076</v>
      </c>
    </row>
    <row r="150" spans="1:7" ht="31.5" x14ac:dyDescent="0.25">
      <c r="A150" s="211" t="s">
        <v>345</v>
      </c>
      <c r="B150" s="221" t="s">
        <v>43</v>
      </c>
      <c r="C150" s="42" t="s">
        <v>225</v>
      </c>
      <c r="D150" s="43" t="s">
        <v>480</v>
      </c>
      <c r="E150" s="42" t="s">
        <v>758</v>
      </c>
      <c r="F150" s="42" t="s">
        <v>762</v>
      </c>
      <c r="G150" s="213" t="s">
        <v>1076</v>
      </c>
    </row>
    <row r="151" spans="1:7" ht="47.25" x14ac:dyDescent="0.25">
      <c r="A151" s="211" t="s">
        <v>345</v>
      </c>
      <c r="B151" s="216" t="s">
        <v>43</v>
      </c>
      <c r="C151" s="42" t="s">
        <v>621</v>
      </c>
      <c r="D151" s="43" t="s">
        <v>927</v>
      </c>
      <c r="E151" s="42" t="s">
        <v>963</v>
      </c>
      <c r="F151" s="42" t="s">
        <v>763</v>
      </c>
      <c r="G151" s="213" t="s">
        <v>1077</v>
      </c>
    </row>
    <row r="152" spans="1:7" ht="47.25" x14ac:dyDescent="0.25">
      <c r="A152" s="211" t="s">
        <v>346</v>
      </c>
      <c r="B152" s="212" t="s">
        <v>44</v>
      </c>
      <c r="C152" s="42" t="s">
        <v>226</v>
      </c>
      <c r="D152" s="43" t="s">
        <v>481</v>
      </c>
      <c r="E152" s="42" t="s">
        <v>757</v>
      </c>
      <c r="F152" s="42" t="s">
        <v>762</v>
      </c>
      <c r="G152" s="213" t="s">
        <v>1078</v>
      </c>
    </row>
    <row r="153" spans="1:7" ht="47.25" x14ac:dyDescent="0.25">
      <c r="A153" s="211" t="s">
        <v>346</v>
      </c>
      <c r="B153" s="214" t="s">
        <v>44</v>
      </c>
      <c r="C153" s="42" t="s">
        <v>227</v>
      </c>
      <c r="D153" s="43" t="s">
        <v>64</v>
      </c>
      <c r="E153" s="42" t="s">
        <v>757</v>
      </c>
      <c r="F153" s="42" t="s">
        <v>762</v>
      </c>
      <c r="G153" s="213" t="s">
        <v>1078</v>
      </c>
    </row>
    <row r="154" spans="1:7" ht="47.25" x14ac:dyDescent="0.25">
      <c r="A154" s="211" t="s">
        <v>346</v>
      </c>
      <c r="B154" s="219" t="s">
        <v>44</v>
      </c>
      <c r="C154" s="42" t="s">
        <v>228</v>
      </c>
      <c r="D154" s="43" t="s">
        <v>65</v>
      </c>
      <c r="E154" s="42" t="s">
        <v>757</v>
      </c>
      <c r="F154" s="42" t="s">
        <v>762</v>
      </c>
      <c r="G154" s="213" t="s">
        <v>1067</v>
      </c>
    </row>
    <row r="155" spans="1:7" ht="47.25" x14ac:dyDescent="0.25">
      <c r="A155" s="211" t="s">
        <v>346</v>
      </c>
      <c r="B155" s="216" t="s">
        <v>44</v>
      </c>
      <c r="C155" s="42" t="s">
        <v>499</v>
      </c>
      <c r="D155" s="43" t="s">
        <v>622</v>
      </c>
      <c r="E155" s="42" t="s">
        <v>963</v>
      </c>
      <c r="F155" s="42" t="s">
        <v>763</v>
      </c>
      <c r="G155" s="213" t="s">
        <v>1078</v>
      </c>
    </row>
    <row r="156" spans="1:7" x14ac:dyDescent="0.25">
      <c r="A156" s="211" t="s">
        <v>347</v>
      </c>
      <c r="B156" s="212" t="s">
        <v>42</v>
      </c>
      <c r="C156" s="42" t="s">
        <v>229</v>
      </c>
      <c r="D156" s="43" t="s">
        <v>482</v>
      </c>
      <c r="E156" s="42" t="s">
        <v>963</v>
      </c>
      <c r="F156" s="42" t="s">
        <v>762</v>
      </c>
      <c r="G156" s="213" t="s">
        <v>1079</v>
      </c>
    </row>
    <row r="157" spans="1:7" ht="31.5" x14ac:dyDescent="0.25">
      <c r="A157" s="211" t="s">
        <v>347</v>
      </c>
      <c r="B157" s="219" t="s">
        <v>42</v>
      </c>
      <c r="C157" s="42" t="s">
        <v>230</v>
      </c>
      <c r="D157" s="43" t="s">
        <v>483</v>
      </c>
      <c r="E157" s="42" t="s">
        <v>963</v>
      </c>
      <c r="F157" s="42" t="s">
        <v>762</v>
      </c>
      <c r="G157" s="213" t="s">
        <v>1079</v>
      </c>
    </row>
    <row r="158" spans="1:7" ht="31.5" x14ac:dyDescent="0.25">
      <c r="A158" s="211" t="s">
        <v>347</v>
      </c>
      <c r="B158" s="216" t="s">
        <v>42</v>
      </c>
      <c r="C158" s="42" t="s">
        <v>623</v>
      </c>
      <c r="D158" s="43" t="s">
        <v>624</v>
      </c>
      <c r="E158" s="42" t="s">
        <v>963</v>
      </c>
      <c r="F158" s="42" t="s">
        <v>763</v>
      </c>
      <c r="G158" s="213" t="s">
        <v>1079</v>
      </c>
    </row>
    <row r="159" spans="1:7" ht="47.25" x14ac:dyDescent="0.25">
      <c r="A159" s="211" t="s">
        <v>348</v>
      </c>
      <c r="B159" s="212" t="s">
        <v>38</v>
      </c>
      <c r="C159" s="42" t="s">
        <v>231</v>
      </c>
      <c r="D159" s="43" t="s">
        <v>484</v>
      </c>
      <c r="E159" s="42" t="s">
        <v>760</v>
      </c>
      <c r="F159" s="42" t="s">
        <v>963</v>
      </c>
      <c r="G159" s="213" t="s">
        <v>1080</v>
      </c>
    </row>
    <row r="160" spans="1:7" ht="47.25" x14ac:dyDescent="0.25">
      <c r="A160" s="211" t="s">
        <v>348</v>
      </c>
      <c r="B160" s="215" t="s">
        <v>38</v>
      </c>
      <c r="C160" s="42" t="s">
        <v>232</v>
      </c>
      <c r="D160" s="43" t="s">
        <v>53</v>
      </c>
      <c r="E160" s="42" t="s">
        <v>760</v>
      </c>
      <c r="F160" s="42" t="s">
        <v>963</v>
      </c>
      <c r="G160" s="213" t="s">
        <v>1080</v>
      </c>
    </row>
    <row r="161" spans="1:7" ht="47.25" x14ac:dyDescent="0.25">
      <c r="A161" s="211" t="s">
        <v>348</v>
      </c>
      <c r="B161" s="216" t="s">
        <v>38</v>
      </c>
      <c r="C161" s="42" t="s">
        <v>233</v>
      </c>
      <c r="D161" s="43" t="s">
        <v>485</v>
      </c>
      <c r="E161" s="42" t="s">
        <v>963</v>
      </c>
      <c r="F161" s="42" t="s">
        <v>963</v>
      </c>
      <c r="G161" s="213" t="s">
        <v>1080</v>
      </c>
    </row>
    <row r="162" spans="1:7" ht="31.5" x14ac:dyDescent="0.25">
      <c r="A162" s="211" t="s">
        <v>349</v>
      </c>
      <c r="B162" s="212" t="s">
        <v>49</v>
      </c>
      <c r="C162" s="42" t="s">
        <v>234</v>
      </c>
      <c r="D162" s="43" t="s">
        <v>67</v>
      </c>
      <c r="E162" s="42" t="s">
        <v>963</v>
      </c>
      <c r="F162" s="42" t="s">
        <v>963</v>
      </c>
      <c r="G162" s="213" t="s">
        <v>1081</v>
      </c>
    </row>
    <row r="163" spans="1:7" ht="31.5" x14ac:dyDescent="0.25">
      <c r="A163" s="211" t="s">
        <v>349</v>
      </c>
      <c r="B163" s="214" t="s">
        <v>49</v>
      </c>
      <c r="C163" s="42" t="s">
        <v>235</v>
      </c>
      <c r="D163" s="43" t="s">
        <v>68</v>
      </c>
      <c r="E163" s="42" t="s">
        <v>963</v>
      </c>
      <c r="F163" s="42" t="s">
        <v>963</v>
      </c>
      <c r="G163" s="213" t="s">
        <v>1081</v>
      </c>
    </row>
    <row r="164" spans="1:7" ht="31.5" x14ac:dyDescent="0.25">
      <c r="A164" s="211" t="s">
        <v>349</v>
      </c>
      <c r="B164" s="214" t="s">
        <v>49</v>
      </c>
      <c r="C164" s="42" t="s">
        <v>236</v>
      </c>
      <c r="D164" s="43" t="s">
        <v>69</v>
      </c>
      <c r="E164" s="42" t="s">
        <v>963</v>
      </c>
      <c r="F164" s="42" t="s">
        <v>963</v>
      </c>
      <c r="G164" s="213" t="s">
        <v>1081</v>
      </c>
    </row>
    <row r="165" spans="1:7" ht="47.25" x14ac:dyDescent="0.25">
      <c r="A165" s="211" t="s">
        <v>349</v>
      </c>
      <c r="B165" s="214" t="s">
        <v>49</v>
      </c>
      <c r="C165" s="42" t="s">
        <v>625</v>
      </c>
      <c r="D165" s="43" t="s">
        <v>626</v>
      </c>
      <c r="E165" s="42" t="s">
        <v>963</v>
      </c>
      <c r="F165" s="42" t="s">
        <v>763</v>
      </c>
      <c r="G165" s="213" t="s">
        <v>1082</v>
      </c>
    </row>
    <row r="166" spans="1:7" ht="47.25" x14ac:dyDescent="0.25">
      <c r="A166" s="211" t="s">
        <v>349</v>
      </c>
      <c r="B166" s="221" t="s">
        <v>49</v>
      </c>
      <c r="C166" s="42" t="s">
        <v>627</v>
      </c>
      <c r="D166" s="43" t="s">
        <v>628</v>
      </c>
      <c r="E166" s="42" t="s">
        <v>963</v>
      </c>
      <c r="F166" s="42" t="s">
        <v>763</v>
      </c>
      <c r="G166" s="213" t="s">
        <v>1083</v>
      </c>
    </row>
    <row r="167" spans="1:7" ht="78.75" x14ac:dyDescent="0.25">
      <c r="A167" s="211" t="s">
        <v>349</v>
      </c>
      <c r="B167" s="216" t="s">
        <v>49</v>
      </c>
      <c r="C167" s="42" t="s">
        <v>629</v>
      </c>
      <c r="D167" s="43" t="s">
        <v>928</v>
      </c>
      <c r="E167" s="42" t="s">
        <v>963</v>
      </c>
      <c r="F167" s="42" t="s">
        <v>763</v>
      </c>
      <c r="G167" s="213" t="s">
        <v>1084</v>
      </c>
    </row>
    <row r="168" spans="1:7" ht="31.5" x14ac:dyDescent="0.25">
      <c r="A168" s="211" t="s">
        <v>350</v>
      </c>
      <c r="B168" s="44" t="s">
        <v>50</v>
      </c>
      <c r="C168" s="42" t="s">
        <v>237</v>
      </c>
      <c r="D168" s="43" t="s">
        <v>849</v>
      </c>
      <c r="E168" s="42" t="s">
        <v>963</v>
      </c>
      <c r="F168" s="42" t="s">
        <v>963</v>
      </c>
      <c r="G168" s="213" t="s">
        <v>1081</v>
      </c>
    </row>
    <row r="169" spans="1:7" ht="31.5" x14ac:dyDescent="0.25">
      <c r="A169" s="211" t="s">
        <v>351</v>
      </c>
      <c r="B169" s="212" t="s">
        <v>46</v>
      </c>
      <c r="C169" s="42" t="s">
        <v>238</v>
      </c>
      <c r="D169" s="43" t="s">
        <v>491</v>
      </c>
      <c r="E169" s="42" t="s">
        <v>963</v>
      </c>
      <c r="F169" s="42" t="s">
        <v>963</v>
      </c>
      <c r="G169" s="213" t="s">
        <v>1085</v>
      </c>
    </row>
    <row r="170" spans="1:7" ht="31.5" x14ac:dyDescent="0.25">
      <c r="A170" s="211" t="s">
        <v>351</v>
      </c>
      <c r="B170" s="214" t="s">
        <v>46</v>
      </c>
      <c r="C170" s="42" t="s">
        <v>822</v>
      </c>
      <c r="D170" s="43" t="s">
        <v>630</v>
      </c>
      <c r="E170" s="42" t="s">
        <v>963</v>
      </c>
      <c r="F170" s="42" t="s">
        <v>963</v>
      </c>
      <c r="G170" s="213" t="s">
        <v>1086</v>
      </c>
    </row>
    <row r="171" spans="1:7" ht="47.25" x14ac:dyDescent="0.25">
      <c r="A171" s="211" t="s">
        <v>351</v>
      </c>
      <c r="B171" s="214" t="s">
        <v>46</v>
      </c>
      <c r="C171" s="42" t="s">
        <v>823</v>
      </c>
      <c r="D171" s="43" t="s">
        <v>631</v>
      </c>
      <c r="E171" s="42" t="s">
        <v>963</v>
      </c>
      <c r="F171" s="42" t="s">
        <v>763</v>
      </c>
      <c r="G171" s="213" t="s">
        <v>1087</v>
      </c>
    </row>
    <row r="172" spans="1:7" ht="63" x14ac:dyDescent="0.25">
      <c r="A172" s="211" t="s">
        <v>351</v>
      </c>
      <c r="B172" s="219" t="s">
        <v>46</v>
      </c>
      <c r="C172" s="42" t="s">
        <v>824</v>
      </c>
      <c r="D172" s="43" t="s">
        <v>632</v>
      </c>
      <c r="E172" s="42" t="s">
        <v>963</v>
      </c>
      <c r="F172" s="42" t="s">
        <v>763</v>
      </c>
      <c r="G172" s="213" t="s">
        <v>1083</v>
      </c>
    </row>
    <row r="173" spans="1:7" ht="47.25" x14ac:dyDescent="0.25">
      <c r="A173" s="211" t="s">
        <v>351</v>
      </c>
      <c r="B173" s="216" t="s">
        <v>46</v>
      </c>
      <c r="C173" s="42" t="s">
        <v>825</v>
      </c>
      <c r="D173" s="43" t="s">
        <v>784</v>
      </c>
      <c r="E173" s="42" t="s">
        <v>963</v>
      </c>
      <c r="F173" s="42" t="s">
        <v>763</v>
      </c>
      <c r="G173" s="213" t="s">
        <v>1088</v>
      </c>
    </row>
    <row r="174" spans="1:7" ht="47.25" x14ac:dyDescent="0.25">
      <c r="A174" s="211" t="s">
        <v>352</v>
      </c>
      <c r="B174" s="218" t="s">
        <v>48</v>
      </c>
      <c r="C174" s="42" t="s">
        <v>239</v>
      </c>
      <c r="D174" s="43" t="s">
        <v>486</v>
      </c>
      <c r="E174" s="42" t="s">
        <v>963</v>
      </c>
      <c r="F174" s="42" t="s">
        <v>963</v>
      </c>
      <c r="G174" s="213" t="s">
        <v>1089</v>
      </c>
    </row>
    <row r="175" spans="1:7" ht="47.25" x14ac:dyDescent="0.25">
      <c r="A175" s="211" t="s">
        <v>352</v>
      </c>
      <c r="B175" s="216" t="s">
        <v>48</v>
      </c>
      <c r="C175" s="42" t="s">
        <v>507</v>
      </c>
      <c r="D175" s="43" t="s">
        <v>487</v>
      </c>
      <c r="E175" s="42" t="s">
        <v>963</v>
      </c>
      <c r="F175" s="42" t="s">
        <v>963</v>
      </c>
      <c r="G175" s="213" t="s">
        <v>1089</v>
      </c>
    </row>
    <row r="176" spans="1:7" ht="31.5" x14ac:dyDescent="0.25">
      <c r="A176" s="211" t="s">
        <v>353</v>
      </c>
      <c r="B176" s="212" t="s">
        <v>638</v>
      </c>
      <c r="C176" s="42" t="s">
        <v>240</v>
      </c>
      <c r="D176" s="43" t="s">
        <v>633</v>
      </c>
      <c r="E176" s="42" t="s">
        <v>963</v>
      </c>
      <c r="F176" s="42" t="s">
        <v>763</v>
      </c>
      <c r="G176" s="213" t="s">
        <v>1066</v>
      </c>
    </row>
    <row r="177" spans="1:7" ht="47.25" x14ac:dyDescent="0.25">
      <c r="A177" s="211" t="s">
        <v>353</v>
      </c>
      <c r="B177" s="214" t="s">
        <v>638</v>
      </c>
      <c r="C177" s="42" t="s">
        <v>241</v>
      </c>
      <c r="D177" s="43" t="s">
        <v>634</v>
      </c>
      <c r="E177" s="42" t="s">
        <v>746</v>
      </c>
      <c r="F177" s="42" t="s">
        <v>963</v>
      </c>
      <c r="G177" s="213" t="s">
        <v>1088</v>
      </c>
    </row>
    <row r="178" spans="1:7" x14ac:dyDescent="0.25">
      <c r="A178" s="211" t="s">
        <v>353</v>
      </c>
      <c r="B178" s="214" t="s">
        <v>638</v>
      </c>
      <c r="C178" s="42" t="s">
        <v>826</v>
      </c>
      <c r="D178" s="43" t="s">
        <v>635</v>
      </c>
      <c r="E178" s="42" t="s">
        <v>746</v>
      </c>
      <c r="F178" s="42" t="s">
        <v>963</v>
      </c>
      <c r="G178" s="213" t="s">
        <v>1088</v>
      </c>
    </row>
    <row r="179" spans="1:7" ht="31.5" x14ac:dyDescent="0.25">
      <c r="A179" s="211" t="s">
        <v>353</v>
      </c>
      <c r="B179" s="219" t="s">
        <v>638</v>
      </c>
      <c r="C179" s="42" t="s">
        <v>827</v>
      </c>
      <c r="D179" s="43" t="s">
        <v>929</v>
      </c>
      <c r="E179" s="42" t="s">
        <v>963</v>
      </c>
      <c r="F179" s="42" t="s">
        <v>763</v>
      </c>
      <c r="G179" s="213" t="s">
        <v>1066</v>
      </c>
    </row>
    <row r="180" spans="1:7" ht="63" x14ac:dyDescent="0.25">
      <c r="A180" s="211" t="s">
        <v>353</v>
      </c>
      <c r="B180" s="216" t="s">
        <v>638</v>
      </c>
      <c r="C180" s="42" t="s">
        <v>828</v>
      </c>
      <c r="D180" s="43" t="s">
        <v>850</v>
      </c>
      <c r="E180" s="42" t="s">
        <v>963</v>
      </c>
      <c r="F180" s="42" t="s">
        <v>763</v>
      </c>
      <c r="G180" s="213" t="s">
        <v>1090</v>
      </c>
    </row>
    <row r="181" spans="1:7" x14ac:dyDescent="0.25">
      <c r="A181" s="62">
        <v>4</v>
      </c>
      <c r="B181" s="63" t="s">
        <v>15</v>
      </c>
      <c r="C181" s="64"/>
      <c r="D181" s="222"/>
      <c r="E181" s="65"/>
      <c r="F181" s="65"/>
      <c r="G181" s="223"/>
    </row>
    <row r="182" spans="1:7" ht="47.25" x14ac:dyDescent="0.25">
      <c r="A182" s="211" t="s">
        <v>354</v>
      </c>
      <c r="B182" s="212" t="s">
        <v>654</v>
      </c>
      <c r="C182" s="42" t="s">
        <v>245</v>
      </c>
      <c r="D182" s="43" t="s">
        <v>639</v>
      </c>
      <c r="E182" s="42" t="s">
        <v>963</v>
      </c>
      <c r="F182" s="42" t="s">
        <v>763</v>
      </c>
      <c r="G182" s="213" t="s">
        <v>1091</v>
      </c>
    </row>
    <row r="183" spans="1:7" ht="31.5" x14ac:dyDescent="0.25">
      <c r="A183" s="211" t="s">
        <v>354</v>
      </c>
      <c r="B183" s="214" t="s">
        <v>654</v>
      </c>
      <c r="C183" s="42" t="s">
        <v>246</v>
      </c>
      <c r="D183" s="43" t="s">
        <v>640</v>
      </c>
      <c r="E183" s="42" t="s">
        <v>963</v>
      </c>
      <c r="F183" s="42" t="s">
        <v>763</v>
      </c>
      <c r="G183" s="213" t="s">
        <v>1092</v>
      </c>
    </row>
    <row r="184" spans="1:7" x14ac:dyDescent="0.25">
      <c r="A184" s="211" t="s">
        <v>354</v>
      </c>
      <c r="B184" s="214" t="s">
        <v>654</v>
      </c>
      <c r="C184" s="42" t="s">
        <v>247</v>
      </c>
      <c r="D184" s="43" t="s">
        <v>641</v>
      </c>
      <c r="E184" s="42" t="s">
        <v>963</v>
      </c>
      <c r="F184" s="42" t="s">
        <v>763</v>
      </c>
      <c r="G184" s="213" t="s">
        <v>1093</v>
      </c>
    </row>
    <row r="185" spans="1:7" ht="47.25" x14ac:dyDescent="0.25">
      <c r="A185" s="211" t="s">
        <v>354</v>
      </c>
      <c r="B185" s="221" t="s">
        <v>654</v>
      </c>
      <c r="C185" s="42" t="s">
        <v>248</v>
      </c>
      <c r="D185" s="43" t="s">
        <v>642</v>
      </c>
      <c r="E185" s="42" t="s">
        <v>963</v>
      </c>
      <c r="F185" s="42" t="s">
        <v>763</v>
      </c>
      <c r="G185" s="213" t="s">
        <v>1094</v>
      </c>
    </row>
    <row r="186" spans="1:7" ht="47.25" x14ac:dyDescent="0.25">
      <c r="A186" s="211" t="s">
        <v>355</v>
      </c>
      <c r="B186" s="212" t="s">
        <v>29</v>
      </c>
      <c r="C186" s="42" t="s">
        <v>250</v>
      </c>
      <c r="D186" s="43" t="s">
        <v>643</v>
      </c>
      <c r="E186" s="42" t="s">
        <v>963</v>
      </c>
      <c r="F186" s="42" t="s">
        <v>963</v>
      </c>
      <c r="G186" s="213" t="s">
        <v>1095</v>
      </c>
    </row>
    <row r="187" spans="1:7" ht="47.25" x14ac:dyDescent="0.25">
      <c r="A187" s="211" t="s">
        <v>355</v>
      </c>
      <c r="B187" s="219" t="s">
        <v>29</v>
      </c>
      <c r="C187" s="42" t="s">
        <v>251</v>
      </c>
      <c r="D187" s="43" t="s">
        <v>31</v>
      </c>
      <c r="E187" s="42" t="s">
        <v>963</v>
      </c>
      <c r="F187" s="42" t="s">
        <v>963</v>
      </c>
      <c r="G187" s="213" t="s">
        <v>1096</v>
      </c>
    </row>
    <row r="188" spans="1:7" ht="47.25" x14ac:dyDescent="0.25">
      <c r="A188" s="211" t="s">
        <v>355</v>
      </c>
      <c r="B188" s="214" t="s">
        <v>29</v>
      </c>
      <c r="C188" s="42" t="s">
        <v>644</v>
      </c>
      <c r="D188" s="43" t="s">
        <v>32</v>
      </c>
      <c r="E188" s="42" t="s">
        <v>963</v>
      </c>
      <c r="F188" s="42" t="s">
        <v>963</v>
      </c>
      <c r="G188" s="213" t="s">
        <v>1096</v>
      </c>
    </row>
    <row r="189" spans="1:7" ht="47.25" x14ac:dyDescent="0.25">
      <c r="A189" s="211" t="s">
        <v>355</v>
      </c>
      <c r="B189" s="216" t="s">
        <v>29</v>
      </c>
      <c r="C189" s="42" t="s">
        <v>645</v>
      </c>
      <c r="D189" s="43" t="s">
        <v>33</v>
      </c>
      <c r="E189" s="42" t="s">
        <v>963</v>
      </c>
      <c r="F189" s="42" t="s">
        <v>963</v>
      </c>
      <c r="G189" s="213" t="s">
        <v>1095</v>
      </c>
    </row>
    <row r="190" spans="1:7" ht="47.25" x14ac:dyDescent="0.25">
      <c r="A190" s="211" t="s">
        <v>356</v>
      </c>
      <c r="B190" s="44" t="s">
        <v>329</v>
      </c>
      <c r="C190" s="42" t="s">
        <v>252</v>
      </c>
      <c r="D190" s="43" t="s">
        <v>851</v>
      </c>
      <c r="E190" s="42" t="s">
        <v>963</v>
      </c>
      <c r="F190" s="42" t="s">
        <v>762</v>
      </c>
      <c r="G190" s="213" t="s">
        <v>1097</v>
      </c>
    </row>
    <row r="191" spans="1:7" ht="31.5" x14ac:dyDescent="0.25">
      <c r="A191" s="211" t="s">
        <v>357</v>
      </c>
      <c r="B191" s="229" t="s">
        <v>249</v>
      </c>
      <c r="C191" s="42" t="s">
        <v>258</v>
      </c>
      <c r="D191" s="43" t="s">
        <v>646</v>
      </c>
      <c r="E191" s="42" t="s">
        <v>963</v>
      </c>
      <c r="F191" s="42" t="s">
        <v>763</v>
      </c>
      <c r="G191" s="213" t="s">
        <v>1098</v>
      </c>
    </row>
    <row r="192" spans="1:7" ht="31.5" x14ac:dyDescent="0.25">
      <c r="A192" s="211" t="s">
        <v>357</v>
      </c>
      <c r="B192" s="216" t="s">
        <v>249</v>
      </c>
      <c r="C192" s="42" t="s">
        <v>259</v>
      </c>
      <c r="D192" s="43" t="s">
        <v>852</v>
      </c>
      <c r="E192" s="42" t="s">
        <v>963</v>
      </c>
      <c r="F192" s="42" t="s">
        <v>763</v>
      </c>
      <c r="G192" s="213" t="s">
        <v>1099</v>
      </c>
    </row>
    <row r="193" spans="1:7" ht="31.5" x14ac:dyDescent="0.25">
      <c r="A193" s="211" t="s">
        <v>358</v>
      </c>
      <c r="B193" s="212" t="s">
        <v>253</v>
      </c>
      <c r="C193" s="42" t="s">
        <v>260</v>
      </c>
      <c r="D193" s="43" t="s">
        <v>254</v>
      </c>
      <c r="E193" s="42" t="s">
        <v>963</v>
      </c>
      <c r="F193" s="42" t="s">
        <v>963</v>
      </c>
      <c r="G193" s="213" t="s">
        <v>1100</v>
      </c>
    </row>
    <row r="194" spans="1:7" ht="47.25" x14ac:dyDescent="0.25">
      <c r="A194" s="211" t="s">
        <v>358</v>
      </c>
      <c r="B194" s="214" t="s">
        <v>253</v>
      </c>
      <c r="C194" s="42" t="s">
        <v>261</v>
      </c>
      <c r="D194" s="43" t="s">
        <v>647</v>
      </c>
      <c r="E194" s="42" t="s">
        <v>963</v>
      </c>
      <c r="F194" s="42" t="s">
        <v>763</v>
      </c>
      <c r="G194" s="213" t="s">
        <v>1101</v>
      </c>
    </row>
    <row r="195" spans="1:7" ht="47.25" x14ac:dyDescent="0.25">
      <c r="A195" s="211" t="s">
        <v>358</v>
      </c>
      <c r="B195" s="219" t="s">
        <v>253</v>
      </c>
      <c r="C195" s="42" t="s">
        <v>814</v>
      </c>
      <c r="D195" s="43" t="s">
        <v>648</v>
      </c>
      <c r="E195" s="42" t="s">
        <v>963</v>
      </c>
      <c r="F195" s="42" t="s">
        <v>763</v>
      </c>
      <c r="G195" s="213" t="s">
        <v>1101</v>
      </c>
    </row>
    <row r="196" spans="1:7" ht="47.25" x14ac:dyDescent="0.25">
      <c r="A196" s="211" t="s">
        <v>358</v>
      </c>
      <c r="B196" s="216" t="s">
        <v>253</v>
      </c>
      <c r="C196" s="42" t="s">
        <v>815</v>
      </c>
      <c r="D196" s="43" t="s">
        <v>649</v>
      </c>
      <c r="E196" s="42" t="s">
        <v>963</v>
      </c>
      <c r="F196" s="42" t="s">
        <v>763</v>
      </c>
      <c r="G196" s="213" t="s">
        <v>1102</v>
      </c>
    </row>
    <row r="197" spans="1:7" x14ac:dyDescent="0.25">
      <c r="A197" s="211" t="s">
        <v>359</v>
      </c>
      <c r="B197" s="218" t="s">
        <v>255</v>
      </c>
      <c r="C197" s="42" t="s">
        <v>263</v>
      </c>
      <c r="D197" s="43" t="s">
        <v>488</v>
      </c>
      <c r="E197" s="42" t="s">
        <v>963</v>
      </c>
      <c r="F197" s="42" t="s">
        <v>963</v>
      </c>
      <c r="G197" s="213" t="s">
        <v>1103</v>
      </c>
    </row>
    <row r="198" spans="1:7" ht="31.5" x14ac:dyDescent="0.25">
      <c r="A198" s="211" t="s">
        <v>359</v>
      </c>
      <c r="B198" s="230" t="s">
        <v>255</v>
      </c>
      <c r="C198" s="42" t="s">
        <v>264</v>
      </c>
      <c r="D198" s="43" t="s">
        <v>489</v>
      </c>
      <c r="E198" s="42" t="s">
        <v>963</v>
      </c>
      <c r="F198" s="42" t="s">
        <v>963</v>
      </c>
      <c r="G198" s="213" t="s">
        <v>1104</v>
      </c>
    </row>
    <row r="199" spans="1:7" ht="31.5" x14ac:dyDescent="0.25">
      <c r="A199" s="211" t="s">
        <v>360</v>
      </c>
      <c r="B199" s="218" t="s">
        <v>256</v>
      </c>
      <c r="C199" s="42" t="s">
        <v>267</v>
      </c>
      <c r="D199" s="43" t="s">
        <v>257</v>
      </c>
      <c r="E199" s="42" t="s">
        <v>963</v>
      </c>
      <c r="F199" s="42" t="s">
        <v>963</v>
      </c>
      <c r="G199" s="213" t="s">
        <v>1105</v>
      </c>
    </row>
    <row r="200" spans="1:7" ht="47.25" x14ac:dyDescent="0.25">
      <c r="A200" s="211" t="s">
        <v>360</v>
      </c>
      <c r="B200" s="216" t="s">
        <v>256</v>
      </c>
      <c r="C200" s="42" t="s">
        <v>424</v>
      </c>
      <c r="D200" s="43" t="s">
        <v>490</v>
      </c>
      <c r="E200" s="42" t="s">
        <v>963</v>
      </c>
      <c r="F200" s="42" t="s">
        <v>963</v>
      </c>
      <c r="G200" s="213" t="s">
        <v>1106</v>
      </c>
    </row>
    <row r="201" spans="1:7" x14ac:dyDescent="0.25">
      <c r="A201" s="211" t="s">
        <v>655</v>
      </c>
      <c r="B201" s="212" t="s">
        <v>509</v>
      </c>
      <c r="C201" s="42" t="s">
        <v>652</v>
      </c>
      <c r="D201" s="43" t="s">
        <v>262</v>
      </c>
      <c r="E201" s="42" t="s">
        <v>963</v>
      </c>
      <c r="F201" s="42" t="s">
        <v>963</v>
      </c>
      <c r="G201" s="213" t="s">
        <v>1107</v>
      </c>
    </row>
    <row r="202" spans="1:7" x14ac:dyDescent="0.25">
      <c r="A202" s="211" t="s">
        <v>655</v>
      </c>
      <c r="B202" s="214" t="s">
        <v>509</v>
      </c>
      <c r="C202" s="42" t="s">
        <v>653</v>
      </c>
      <c r="D202" s="43" t="s">
        <v>35</v>
      </c>
      <c r="E202" s="42" t="s">
        <v>963</v>
      </c>
      <c r="F202" s="42" t="s">
        <v>963</v>
      </c>
      <c r="G202" s="213" t="s">
        <v>1108</v>
      </c>
    </row>
    <row r="203" spans="1:7" ht="31.5" x14ac:dyDescent="0.25">
      <c r="A203" s="211" t="s">
        <v>655</v>
      </c>
      <c r="B203" s="219" t="s">
        <v>509</v>
      </c>
      <c r="C203" s="42" t="s">
        <v>816</v>
      </c>
      <c r="D203" s="43" t="s">
        <v>650</v>
      </c>
      <c r="E203" s="42" t="s">
        <v>963</v>
      </c>
      <c r="F203" s="42" t="s">
        <v>763</v>
      </c>
      <c r="G203" s="213" t="s">
        <v>1109</v>
      </c>
    </row>
    <row r="204" spans="1:7" ht="47.25" x14ac:dyDescent="0.25">
      <c r="A204" s="211" t="s">
        <v>655</v>
      </c>
      <c r="B204" s="216" t="s">
        <v>509</v>
      </c>
      <c r="C204" s="42" t="s">
        <v>817</v>
      </c>
      <c r="D204" s="43" t="s">
        <v>651</v>
      </c>
      <c r="E204" s="42" t="s">
        <v>963</v>
      </c>
      <c r="F204" s="42" t="s">
        <v>763</v>
      </c>
      <c r="G204" s="213" t="s">
        <v>1110</v>
      </c>
    </row>
    <row r="205" spans="1:7" ht="31.5" x14ac:dyDescent="0.25">
      <c r="A205" s="211" t="s">
        <v>821</v>
      </c>
      <c r="B205" s="218" t="s">
        <v>265</v>
      </c>
      <c r="C205" s="42" t="s">
        <v>818</v>
      </c>
      <c r="D205" s="43" t="s">
        <v>266</v>
      </c>
      <c r="E205" s="42" t="s">
        <v>963</v>
      </c>
      <c r="F205" s="42" t="s">
        <v>963</v>
      </c>
      <c r="G205" s="213" t="s">
        <v>1111</v>
      </c>
    </row>
    <row r="206" spans="1:7" ht="31.5" x14ac:dyDescent="0.25">
      <c r="A206" s="211" t="s">
        <v>821</v>
      </c>
      <c r="B206" s="59"/>
      <c r="C206" s="42" t="s">
        <v>819</v>
      </c>
      <c r="D206" s="43" t="s">
        <v>506</v>
      </c>
      <c r="E206" s="42" t="s">
        <v>963</v>
      </c>
      <c r="F206" s="42" t="s">
        <v>963</v>
      </c>
      <c r="G206" s="213" t="s">
        <v>1112</v>
      </c>
    </row>
    <row r="207" spans="1:7" x14ac:dyDescent="0.25">
      <c r="A207" s="62">
        <v>5</v>
      </c>
      <c r="B207" s="63" t="s">
        <v>16</v>
      </c>
      <c r="C207" s="64"/>
      <c r="D207" s="222"/>
      <c r="E207" s="65"/>
      <c r="F207" s="65"/>
      <c r="G207" s="223"/>
    </row>
    <row r="208" spans="1:7" x14ac:dyDescent="0.25">
      <c r="A208" s="231" t="s">
        <v>361</v>
      </c>
      <c r="B208" s="212" t="s">
        <v>27</v>
      </c>
      <c r="C208" s="57" t="s">
        <v>268</v>
      </c>
      <c r="D208" s="58" t="s">
        <v>28</v>
      </c>
      <c r="E208" s="57" t="s">
        <v>963</v>
      </c>
      <c r="F208" s="57" t="s">
        <v>762</v>
      </c>
      <c r="G208" s="213" t="s">
        <v>1113</v>
      </c>
    </row>
    <row r="209" spans="1:7" ht="31.5" x14ac:dyDescent="0.25">
      <c r="A209" s="211" t="s">
        <v>361</v>
      </c>
      <c r="B209" s="214" t="s">
        <v>27</v>
      </c>
      <c r="C209" s="57" t="s">
        <v>269</v>
      </c>
      <c r="D209" s="58" t="s">
        <v>930</v>
      </c>
      <c r="E209" s="57" t="s">
        <v>963</v>
      </c>
      <c r="F209" s="57" t="s">
        <v>762</v>
      </c>
      <c r="G209" s="213" t="s">
        <v>1114</v>
      </c>
    </row>
    <row r="210" spans="1:7" ht="31.5" x14ac:dyDescent="0.25">
      <c r="A210" s="211" t="s">
        <v>361</v>
      </c>
      <c r="B210" s="219" t="s">
        <v>27</v>
      </c>
      <c r="C210" s="57" t="s">
        <v>270</v>
      </c>
      <c r="D210" s="58" t="s">
        <v>933</v>
      </c>
      <c r="E210" s="57" t="s">
        <v>963</v>
      </c>
      <c r="F210" s="57" t="s">
        <v>762</v>
      </c>
      <c r="G210" s="213" t="s">
        <v>1115</v>
      </c>
    </row>
    <row r="211" spans="1:7" ht="47.25" x14ac:dyDescent="0.25">
      <c r="A211" s="211" t="s">
        <v>361</v>
      </c>
      <c r="B211" s="214" t="s">
        <v>27</v>
      </c>
      <c r="C211" s="57" t="s">
        <v>271</v>
      </c>
      <c r="D211" s="58" t="s">
        <v>934</v>
      </c>
      <c r="E211" s="57" t="s">
        <v>963</v>
      </c>
      <c r="F211" s="57" t="s">
        <v>762</v>
      </c>
      <c r="G211" s="213" t="s">
        <v>1116</v>
      </c>
    </row>
    <row r="212" spans="1:7" ht="31.5" x14ac:dyDescent="0.25">
      <c r="A212" s="211" t="s">
        <v>361</v>
      </c>
      <c r="B212" s="216" t="s">
        <v>27</v>
      </c>
      <c r="C212" s="57" t="s">
        <v>931</v>
      </c>
      <c r="D212" s="58" t="s">
        <v>932</v>
      </c>
      <c r="E212" s="57" t="s">
        <v>963</v>
      </c>
      <c r="F212" s="57" t="s">
        <v>963</v>
      </c>
      <c r="G212" s="213" t="s">
        <v>1117</v>
      </c>
    </row>
    <row r="213" spans="1:7" x14ac:dyDescent="0.25">
      <c r="A213" s="62">
        <v>6</v>
      </c>
      <c r="B213" s="63" t="s">
        <v>378</v>
      </c>
      <c r="C213" s="64"/>
      <c r="D213" s="222"/>
      <c r="E213" s="65"/>
      <c r="F213" s="65"/>
      <c r="G213" s="223"/>
    </row>
    <row r="214" spans="1:7" ht="47.25" x14ac:dyDescent="0.25">
      <c r="A214" s="211" t="s">
        <v>364</v>
      </c>
      <c r="B214" s="218" t="s">
        <v>657</v>
      </c>
      <c r="C214" s="42" t="s">
        <v>125</v>
      </c>
      <c r="D214" s="43" t="s">
        <v>432</v>
      </c>
      <c r="E214" s="70" t="s">
        <v>963</v>
      </c>
      <c r="F214" s="70" t="s">
        <v>963</v>
      </c>
      <c r="G214" s="213" t="s">
        <v>1118</v>
      </c>
    </row>
    <row r="215" spans="1:7" x14ac:dyDescent="0.25">
      <c r="A215" s="211" t="s">
        <v>364</v>
      </c>
      <c r="B215" s="216" t="s">
        <v>657</v>
      </c>
      <c r="C215" s="42" t="s">
        <v>126</v>
      </c>
      <c r="D215" s="43" t="s">
        <v>299</v>
      </c>
      <c r="E215" s="70" t="s">
        <v>963</v>
      </c>
      <c r="F215" s="70" t="s">
        <v>963</v>
      </c>
      <c r="G215" s="213" t="s">
        <v>1118</v>
      </c>
    </row>
    <row r="216" spans="1:7" ht="47.25" x14ac:dyDescent="0.25">
      <c r="A216" s="211" t="s">
        <v>365</v>
      </c>
      <c r="B216" s="44" t="s">
        <v>284</v>
      </c>
      <c r="C216" s="42" t="s">
        <v>127</v>
      </c>
      <c r="D216" s="43" t="s">
        <v>433</v>
      </c>
      <c r="E216" s="70" t="s">
        <v>963</v>
      </c>
      <c r="F216" s="70" t="s">
        <v>963</v>
      </c>
      <c r="G216" s="213" t="s">
        <v>1119</v>
      </c>
    </row>
    <row r="217" spans="1:7" ht="31.5" x14ac:dyDescent="0.25">
      <c r="A217" s="211" t="s">
        <v>366</v>
      </c>
      <c r="B217" s="44" t="s">
        <v>273</v>
      </c>
      <c r="C217" s="42" t="s">
        <v>128</v>
      </c>
      <c r="D217" s="43" t="s">
        <v>434</v>
      </c>
      <c r="E217" s="70" t="s">
        <v>963</v>
      </c>
      <c r="F217" s="70" t="s">
        <v>963</v>
      </c>
      <c r="G217" s="213" t="s">
        <v>1120</v>
      </c>
    </row>
    <row r="218" spans="1:7" ht="47.25" x14ac:dyDescent="0.25">
      <c r="A218" s="211" t="s">
        <v>367</v>
      </c>
      <c r="B218" s="218" t="s">
        <v>510</v>
      </c>
      <c r="C218" s="42" t="s">
        <v>129</v>
      </c>
      <c r="D218" s="43" t="s">
        <v>435</v>
      </c>
      <c r="E218" s="70" t="s">
        <v>963</v>
      </c>
      <c r="F218" s="70" t="s">
        <v>963</v>
      </c>
      <c r="G218" s="213" t="s">
        <v>1121</v>
      </c>
    </row>
    <row r="219" spans="1:7" ht="31.5" x14ac:dyDescent="0.25">
      <c r="A219" s="211" t="s">
        <v>367</v>
      </c>
      <c r="B219" s="216" t="s">
        <v>510</v>
      </c>
      <c r="C219" s="42" t="s">
        <v>130</v>
      </c>
      <c r="D219" s="43" t="s">
        <v>436</v>
      </c>
      <c r="E219" s="70" t="s">
        <v>963</v>
      </c>
      <c r="F219" s="70" t="s">
        <v>963</v>
      </c>
      <c r="G219" s="213" t="s">
        <v>1122</v>
      </c>
    </row>
    <row r="220" spans="1:7" ht="31.5" x14ac:dyDescent="0.25">
      <c r="A220" s="211" t="s">
        <v>368</v>
      </c>
      <c r="B220" s="212" t="s">
        <v>511</v>
      </c>
      <c r="C220" s="42" t="s">
        <v>131</v>
      </c>
      <c r="D220" s="43" t="s">
        <v>290</v>
      </c>
      <c r="E220" s="70" t="s">
        <v>963</v>
      </c>
      <c r="F220" s="70" t="s">
        <v>963</v>
      </c>
      <c r="G220" s="213" t="s">
        <v>1123</v>
      </c>
    </row>
    <row r="221" spans="1:7" ht="31.5" x14ac:dyDescent="0.25">
      <c r="A221" s="211" t="s">
        <v>368</v>
      </c>
      <c r="B221" s="219" t="s">
        <v>511</v>
      </c>
      <c r="C221" s="42" t="s">
        <v>132</v>
      </c>
      <c r="D221" s="43" t="s">
        <v>291</v>
      </c>
      <c r="E221" s="70" t="s">
        <v>963</v>
      </c>
      <c r="F221" s="70" t="s">
        <v>963</v>
      </c>
      <c r="G221" s="213" t="s">
        <v>1124</v>
      </c>
    </row>
    <row r="222" spans="1:7" x14ac:dyDescent="0.25">
      <c r="A222" s="211" t="s">
        <v>368</v>
      </c>
      <c r="B222" s="214" t="s">
        <v>511</v>
      </c>
      <c r="C222" s="42" t="s">
        <v>133</v>
      </c>
      <c r="D222" s="43" t="s">
        <v>437</v>
      </c>
      <c r="E222" s="70" t="s">
        <v>963</v>
      </c>
      <c r="F222" s="70" t="s">
        <v>963</v>
      </c>
      <c r="G222" s="213" t="s">
        <v>1125</v>
      </c>
    </row>
    <row r="223" spans="1:7" x14ac:dyDescent="0.25">
      <c r="A223" s="211" t="s">
        <v>368</v>
      </c>
      <c r="B223" s="216" t="s">
        <v>511</v>
      </c>
      <c r="C223" s="42" t="s">
        <v>134</v>
      </c>
      <c r="D223" s="43" t="s">
        <v>293</v>
      </c>
      <c r="E223" s="70" t="s">
        <v>963</v>
      </c>
      <c r="F223" s="70" t="s">
        <v>963</v>
      </c>
      <c r="G223" s="213" t="s">
        <v>1126</v>
      </c>
    </row>
    <row r="224" spans="1:7" ht="31.5" x14ac:dyDescent="0.25">
      <c r="A224" s="211" t="s">
        <v>369</v>
      </c>
      <c r="B224" s="212" t="s">
        <v>274</v>
      </c>
      <c r="C224" s="42" t="s">
        <v>135</v>
      </c>
      <c r="D224" s="43" t="s">
        <v>294</v>
      </c>
      <c r="E224" s="70" t="s">
        <v>963</v>
      </c>
      <c r="F224" s="70" t="s">
        <v>963</v>
      </c>
      <c r="G224" s="213" t="s">
        <v>1127</v>
      </c>
    </row>
    <row r="225" spans="1:7" ht="31.5" x14ac:dyDescent="0.25">
      <c r="A225" s="211" t="s">
        <v>369</v>
      </c>
      <c r="B225" s="219" t="s">
        <v>274</v>
      </c>
      <c r="C225" s="42" t="s">
        <v>136</v>
      </c>
      <c r="D225" s="43" t="s">
        <v>295</v>
      </c>
      <c r="E225" s="70" t="s">
        <v>963</v>
      </c>
      <c r="F225" s="70" t="s">
        <v>963</v>
      </c>
      <c r="G225" s="213" t="s">
        <v>1128</v>
      </c>
    </row>
    <row r="226" spans="1:7" ht="47.25" x14ac:dyDescent="0.25">
      <c r="A226" s="211" t="s">
        <v>369</v>
      </c>
      <c r="B226" s="216" t="s">
        <v>274</v>
      </c>
      <c r="C226" s="42" t="s">
        <v>137</v>
      </c>
      <c r="D226" s="43" t="s">
        <v>438</v>
      </c>
      <c r="E226" s="70" t="s">
        <v>963</v>
      </c>
      <c r="F226" s="70" t="s">
        <v>963</v>
      </c>
      <c r="G226" s="213" t="s">
        <v>1129</v>
      </c>
    </row>
    <row r="227" spans="1:7" ht="47.25" x14ac:dyDescent="0.25">
      <c r="A227" s="211" t="s">
        <v>370</v>
      </c>
      <c r="B227" s="212" t="s">
        <v>287</v>
      </c>
      <c r="C227" s="42" t="s">
        <v>304</v>
      </c>
      <c r="D227" s="43" t="s">
        <v>300</v>
      </c>
      <c r="E227" s="70" t="s">
        <v>754</v>
      </c>
      <c r="F227" s="70" t="s">
        <v>963</v>
      </c>
      <c r="G227" s="213" t="s">
        <v>1130</v>
      </c>
    </row>
    <row r="228" spans="1:7" ht="31.5" x14ac:dyDescent="0.25">
      <c r="A228" s="211" t="s">
        <v>370</v>
      </c>
      <c r="B228" s="219" t="s">
        <v>287</v>
      </c>
      <c r="C228" s="42" t="s">
        <v>305</v>
      </c>
      <c r="D228" s="43" t="s">
        <v>439</v>
      </c>
      <c r="E228" s="70" t="s">
        <v>754</v>
      </c>
      <c r="F228" s="70" t="s">
        <v>963</v>
      </c>
      <c r="G228" s="213" t="s">
        <v>1131</v>
      </c>
    </row>
    <row r="229" spans="1:7" ht="31.5" x14ac:dyDescent="0.25">
      <c r="A229" s="211" t="s">
        <v>370</v>
      </c>
      <c r="B229" s="216" t="s">
        <v>287</v>
      </c>
      <c r="C229" s="42" t="s">
        <v>306</v>
      </c>
      <c r="D229" s="43" t="s">
        <v>935</v>
      </c>
      <c r="E229" s="70" t="s">
        <v>754</v>
      </c>
      <c r="F229" s="70" t="s">
        <v>963</v>
      </c>
      <c r="G229" s="213" t="s">
        <v>1132</v>
      </c>
    </row>
    <row r="230" spans="1:7" ht="31.5" x14ac:dyDescent="0.25">
      <c r="A230" s="211" t="s">
        <v>371</v>
      </c>
      <c r="B230" s="232" t="s">
        <v>512</v>
      </c>
      <c r="C230" s="42" t="s">
        <v>307</v>
      </c>
      <c r="D230" s="43" t="s">
        <v>297</v>
      </c>
      <c r="E230" s="70" t="s">
        <v>963</v>
      </c>
      <c r="F230" s="70" t="s">
        <v>963</v>
      </c>
      <c r="G230" s="213" t="s">
        <v>1133</v>
      </c>
    </row>
    <row r="231" spans="1:7" x14ac:dyDescent="0.25">
      <c r="A231" s="211" t="s">
        <v>372</v>
      </c>
      <c r="B231" s="219" t="s">
        <v>276</v>
      </c>
      <c r="C231" s="42" t="s">
        <v>308</v>
      </c>
      <c r="D231" s="43" t="s">
        <v>440</v>
      </c>
      <c r="E231" s="70" t="s">
        <v>963</v>
      </c>
      <c r="F231" s="70" t="s">
        <v>963</v>
      </c>
      <c r="G231" s="213" t="s">
        <v>1134</v>
      </c>
    </row>
    <row r="232" spans="1:7" ht="31.5" x14ac:dyDescent="0.25">
      <c r="A232" s="211" t="s">
        <v>372</v>
      </c>
      <c r="B232" s="216" t="s">
        <v>276</v>
      </c>
      <c r="C232" s="42" t="s">
        <v>309</v>
      </c>
      <c r="D232" s="43" t="s">
        <v>768</v>
      </c>
      <c r="E232" s="70" t="s">
        <v>963</v>
      </c>
      <c r="F232" s="70" t="s">
        <v>963</v>
      </c>
      <c r="G232" s="213" t="s">
        <v>1135</v>
      </c>
    </row>
    <row r="233" spans="1:7" ht="31.5" x14ac:dyDescent="0.25">
      <c r="A233" s="211" t="s">
        <v>373</v>
      </c>
      <c r="B233" s="212" t="s">
        <v>275</v>
      </c>
      <c r="C233" s="42" t="s">
        <v>310</v>
      </c>
      <c r="D233" s="43" t="s">
        <v>441</v>
      </c>
      <c r="E233" s="70" t="s">
        <v>963</v>
      </c>
      <c r="F233" s="70" t="s">
        <v>963</v>
      </c>
      <c r="G233" s="213" t="s">
        <v>1136</v>
      </c>
    </row>
    <row r="234" spans="1:7" x14ac:dyDescent="0.25">
      <c r="A234" s="211" t="s">
        <v>373</v>
      </c>
      <c r="B234" s="219" t="s">
        <v>275</v>
      </c>
      <c r="C234" s="42" t="s">
        <v>311</v>
      </c>
      <c r="D234" s="43" t="s">
        <v>296</v>
      </c>
      <c r="E234" s="70" t="s">
        <v>963</v>
      </c>
      <c r="F234" s="70" t="s">
        <v>963</v>
      </c>
      <c r="G234" s="213" t="s">
        <v>1137</v>
      </c>
    </row>
    <row r="235" spans="1:7" ht="47.25" x14ac:dyDescent="0.25">
      <c r="A235" s="211" t="s">
        <v>373</v>
      </c>
      <c r="B235" s="216" t="s">
        <v>275</v>
      </c>
      <c r="C235" s="42" t="s">
        <v>656</v>
      </c>
      <c r="D235" s="43" t="s">
        <v>767</v>
      </c>
      <c r="E235" s="70" t="s">
        <v>963</v>
      </c>
      <c r="F235" s="70" t="s">
        <v>963</v>
      </c>
      <c r="G235" s="213" t="s">
        <v>1138</v>
      </c>
    </row>
    <row r="236" spans="1:7" x14ac:dyDescent="0.25">
      <c r="A236" s="211" t="s">
        <v>374</v>
      </c>
      <c r="B236" s="44" t="s">
        <v>277</v>
      </c>
      <c r="C236" s="42" t="s">
        <v>312</v>
      </c>
      <c r="D236" s="43" t="s">
        <v>298</v>
      </c>
      <c r="E236" s="70" t="s">
        <v>963</v>
      </c>
      <c r="F236" s="70" t="s">
        <v>963</v>
      </c>
      <c r="G236" s="213" t="s">
        <v>1139</v>
      </c>
    </row>
    <row r="237" spans="1:7" ht="47.25" x14ac:dyDescent="0.25">
      <c r="A237" s="211" t="s">
        <v>375</v>
      </c>
      <c r="B237" s="229" t="s">
        <v>278</v>
      </c>
      <c r="C237" s="42" t="s">
        <v>313</v>
      </c>
      <c r="D237" s="43" t="s">
        <v>442</v>
      </c>
      <c r="E237" s="70" t="s">
        <v>963</v>
      </c>
      <c r="F237" s="70" t="s">
        <v>963</v>
      </c>
      <c r="G237" s="213" t="s">
        <v>1140</v>
      </c>
    </row>
    <row r="238" spans="1:7" x14ac:dyDescent="0.25">
      <c r="A238" s="211" t="s">
        <v>375</v>
      </c>
      <c r="B238" s="214" t="s">
        <v>278</v>
      </c>
      <c r="C238" s="42" t="s">
        <v>829</v>
      </c>
      <c r="D238" s="43" t="s">
        <v>443</v>
      </c>
      <c r="E238" s="70" t="s">
        <v>963</v>
      </c>
      <c r="F238" s="70" t="s">
        <v>963</v>
      </c>
      <c r="G238" s="213" t="s">
        <v>1141</v>
      </c>
    </row>
    <row r="239" spans="1:7" x14ac:dyDescent="0.25">
      <c r="A239" s="211" t="s">
        <v>376</v>
      </c>
      <c r="B239" s="44" t="s">
        <v>280</v>
      </c>
      <c r="C239" s="42" t="s">
        <v>314</v>
      </c>
      <c r="D239" s="43" t="s">
        <v>769</v>
      </c>
      <c r="E239" s="70" t="s">
        <v>963</v>
      </c>
      <c r="F239" s="70" t="s">
        <v>963</v>
      </c>
      <c r="G239" s="213" t="s">
        <v>1142</v>
      </c>
    </row>
    <row r="240" spans="1:7" x14ac:dyDescent="0.25">
      <c r="A240" s="62">
        <v>7</v>
      </c>
      <c r="B240" s="63" t="s">
        <v>386</v>
      </c>
      <c r="C240" s="64"/>
      <c r="D240" s="222"/>
      <c r="E240" s="65"/>
      <c r="F240" s="65"/>
      <c r="G240" s="223"/>
    </row>
    <row r="241" spans="1:7" x14ac:dyDescent="0.25">
      <c r="A241" s="211" t="s">
        <v>76</v>
      </c>
      <c r="B241" s="44" t="s">
        <v>413</v>
      </c>
      <c r="C241" s="42" t="s">
        <v>377</v>
      </c>
      <c r="D241" s="43" t="s">
        <v>92</v>
      </c>
      <c r="E241" s="70" t="s">
        <v>963</v>
      </c>
      <c r="F241" s="70" t="s">
        <v>963</v>
      </c>
      <c r="G241" s="213" t="s">
        <v>1143</v>
      </c>
    </row>
    <row r="242" spans="1:7" ht="31.5" x14ac:dyDescent="0.25">
      <c r="A242" s="211" t="s">
        <v>77</v>
      </c>
      <c r="B242" s="212" t="s">
        <v>285</v>
      </c>
      <c r="C242" s="42" t="s">
        <v>379</v>
      </c>
      <c r="D242" s="43" t="s">
        <v>82</v>
      </c>
      <c r="E242" s="70" t="s">
        <v>755</v>
      </c>
      <c r="F242" s="70" t="s">
        <v>963</v>
      </c>
      <c r="G242" s="213" t="s">
        <v>1144</v>
      </c>
    </row>
    <row r="243" spans="1:7" ht="63" x14ac:dyDescent="0.25">
      <c r="A243" s="211" t="s">
        <v>77</v>
      </c>
      <c r="B243" s="219" t="s">
        <v>285</v>
      </c>
      <c r="C243" s="42" t="s">
        <v>414</v>
      </c>
      <c r="D243" s="43" t="s">
        <v>83</v>
      </c>
      <c r="E243" s="70" t="s">
        <v>755</v>
      </c>
      <c r="F243" s="70" t="s">
        <v>963</v>
      </c>
      <c r="G243" s="213" t="s">
        <v>1145</v>
      </c>
    </row>
    <row r="244" spans="1:7" ht="31.5" x14ac:dyDescent="0.25">
      <c r="A244" s="211" t="s">
        <v>77</v>
      </c>
      <c r="B244" s="214" t="s">
        <v>285</v>
      </c>
      <c r="C244" s="42" t="s">
        <v>415</v>
      </c>
      <c r="D244" s="43" t="s">
        <v>84</v>
      </c>
      <c r="E244" s="70" t="s">
        <v>755</v>
      </c>
      <c r="F244" s="70" t="s">
        <v>963</v>
      </c>
      <c r="G244" s="213" t="s">
        <v>1146</v>
      </c>
    </row>
    <row r="245" spans="1:7" ht="31.5" x14ac:dyDescent="0.25">
      <c r="A245" s="211" t="s">
        <v>77</v>
      </c>
      <c r="B245" s="216" t="s">
        <v>285</v>
      </c>
      <c r="C245" s="42" t="s">
        <v>416</v>
      </c>
      <c r="D245" s="43" t="s">
        <v>658</v>
      </c>
      <c r="E245" s="70" t="s">
        <v>755</v>
      </c>
      <c r="F245" s="70" t="s">
        <v>963</v>
      </c>
      <c r="G245" s="213" t="s">
        <v>1147</v>
      </c>
    </row>
    <row r="246" spans="1:7" ht="31.5" x14ac:dyDescent="0.25">
      <c r="A246" s="211" t="s">
        <v>78</v>
      </c>
      <c r="B246" s="218" t="s">
        <v>279</v>
      </c>
      <c r="C246" s="42" t="s">
        <v>380</v>
      </c>
      <c r="D246" s="43" t="s">
        <v>93</v>
      </c>
      <c r="E246" s="70" t="s">
        <v>963</v>
      </c>
      <c r="F246" s="70" t="s">
        <v>963</v>
      </c>
      <c r="G246" s="213" t="s">
        <v>1148</v>
      </c>
    </row>
    <row r="247" spans="1:7" ht="31.5" x14ac:dyDescent="0.25">
      <c r="A247" s="211" t="s">
        <v>78</v>
      </c>
      <c r="B247" s="216" t="s">
        <v>279</v>
      </c>
      <c r="C247" s="42" t="s">
        <v>659</v>
      </c>
      <c r="D247" s="43" t="s">
        <v>936</v>
      </c>
      <c r="E247" s="70" t="s">
        <v>963</v>
      </c>
      <c r="F247" s="70" t="s">
        <v>763</v>
      </c>
      <c r="G247" s="213" t="s">
        <v>1149</v>
      </c>
    </row>
    <row r="248" spans="1:7" ht="31.5" x14ac:dyDescent="0.25">
      <c r="A248" s="211" t="s">
        <v>79</v>
      </c>
      <c r="B248" s="212" t="s">
        <v>281</v>
      </c>
      <c r="C248" s="42" t="s">
        <v>381</v>
      </c>
      <c r="D248" s="43" t="s">
        <v>445</v>
      </c>
      <c r="E248" s="70" t="s">
        <v>751</v>
      </c>
      <c r="F248" s="70" t="s">
        <v>963</v>
      </c>
      <c r="G248" s="213" t="s">
        <v>1150</v>
      </c>
    </row>
    <row r="249" spans="1:7" ht="31.5" x14ac:dyDescent="0.25">
      <c r="A249" s="211" t="s">
        <v>79</v>
      </c>
      <c r="B249" s="214" t="s">
        <v>281</v>
      </c>
      <c r="C249" s="42" t="s">
        <v>417</v>
      </c>
      <c r="D249" s="43" t="s">
        <v>446</v>
      </c>
      <c r="E249" s="70" t="s">
        <v>963</v>
      </c>
      <c r="F249" s="70" t="s">
        <v>963</v>
      </c>
      <c r="G249" s="213" t="s">
        <v>1151</v>
      </c>
    </row>
    <row r="250" spans="1:7" ht="31.5" x14ac:dyDescent="0.25">
      <c r="A250" s="211" t="s">
        <v>79</v>
      </c>
      <c r="B250" s="219" t="s">
        <v>281</v>
      </c>
      <c r="C250" s="42" t="s">
        <v>418</v>
      </c>
      <c r="D250" s="43" t="s">
        <v>447</v>
      </c>
      <c r="E250" s="70" t="s">
        <v>963</v>
      </c>
      <c r="F250" s="70" t="s">
        <v>963</v>
      </c>
      <c r="G250" s="213" t="s">
        <v>1152</v>
      </c>
    </row>
    <row r="251" spans="1:7" ht="47.25" x14ac:dyDescent="0.25">
      <c r="A251" s="211" t="s">
        <v>79</v>
      </c>
      <c r="B251" s="214" t="s">
        <v>281</v>
      </c>
      <c r="C251" s="42" t="s">
        <v>419</v>
      </c>
      <c r="D251" s="43" t="s">
        <v>448</v>
      </c>
      <c r="E251" s="70" t="s">
        <v>963</v>
      </c>
      <c r="F251" s="70" t="s">
        <v>963</v>
      </c>
      <c r="G251" s="213" t="s">
        <v>1153</v>
      </c>
    </row>
    <row r="252" spans="1:7" ht="47.25" x14ac:dyDescent="0.25">
      <c r="A252" s="211" t="s">
        <v>79</v>
      </c>
      <c r="B252" s="214" t="s">
        <v>281</v>
      </c>
      <c r="C252" s="42" t="s">
        <v>420</v>
      </c>
      <c r="D252" s="43" t="s">
        <v>449</v>
      </c>
      <c r="E252" s="70" t="s">
        <v>751</v>
      </c>
      <c r="F252" s="70" t="s">
        <v>963</v>
      </c>
      <c r="G252" s="213" t="s">
        <v>1154</v>
      </c>
    </row>
    <row r="253" spans="1:7" ht="47.25" x14ac:dyDescent="0.25">
      <c r="A253" s="211" t="s">
        <v>79</v>
      </c>
      <c r="B253" s="214" t="s">
        <v>281</v>
      </c>
      <c r="C253" s="42" t="s">
        <v>421</v>
      </c>
      <c r="D253" s="43" t="s">
        <v>450</v>
      </c>
      <c r="E253" s="70" t="s">
        <v>751</v>
      </c>
      <c r="F253" s="70" t="s">
        <v>963</v>
      </c>
      <c r="G253" s="213" t="s">
        <v>1155</v>
      </c>
    </row>
    <row r="254" spans="1:7" ht="31.5" x14ac:dyDescent="0.25">
      <c r="A254" s="211" t="s">
        <v>79</v>
      </c>
      <c r="B254" s="216" t="s">
        <v>281</v>
      </c>
      <c r="C254" s="42" t="s">
        <v>422</v>
      </c>
      <c r="D254" s="43" t="s">
        <v>451</v>
      </c>
      <c r="E254" s="70" t="s">
        <v>751</v>
      </c>
      <c r="F254" s="70" t="s">
        <v>963</v>
      </c>
      <c r="G254" s="213" t="s">
        <v>1156</v>
      </c>
    </row>
    <row r="255" spans="1:7" ht="47.25" x14ac:dyDescent="0.25">
      <c r="A255" s="211" t="s">
        <v>315</v>
      </c>
      <c r="B255" s="212" t="s">
        <v>280</v>
      </c>
      <c r="C255" s="42" t="s">
        <v>382</v>
      </c>
      <c r="D255" s="43" t="s">
        <v>452</v>
      </c>
      <c r="E255" s="70" t="s">
        <v>963</v>
      </c>
      <c r="F255" s="70" t="s">
        <v>963</v>
      </c>
      <c r="G255" s="213" t="s">
        <v>1157</v>
      </c>
    </row>
    <row r="256" spans="1:7" ht="47.25" x14ac:dyDescent="0.25">
      <c r="A256" s="211" t="s">
        <v>315</v>
      </c>
      <c r="B256" s="219" t="s">
        <v>280</v>
      </c>
      <c r="C256" s="42" t="s">
        <v>383</v>
      </c>
      <c r="D256" s="43" t="s">
        <v>660</v>
      </c>
      <c r="E256" s="70" t="s">
        <v>963</v>
      </c>
      <c r="F256" s="70" t="s">
        <v>963</v>
      </c>
      <c r="G256" s="213" t="s">
        <v>1158</v>
      </c>
    </row>
    <row r="257" spans="1:7" x14ac:dyDescent="0.25">
      <c r="A257" s="211" t="s">
        <v>315</v>
      </c>
      <c r="B257" s="216" t="s">
        <v>280</v>
      </c>
      <c r="C257" s="42" t="s">
        <v>384</v>
      </c>
      <c r="D257" s="43" t="s">
        <v>85</v>
      </c>
      <c r="E257" s="70" t="s">
        <v>963</v>
      </c>
      <c r="F257" s="70" t="s">
        <v>963</v>
      </c>
      <c r="G257" s="213" t="s">
        <v>1159</v>
      </c>
    </row>
    <row r="258" spans="1:7" ht="25.5" x14ac:dyDescent="0.25">
      <c r="A258" s="211" t="s">
        <v>316</v>
      </c>
      <c r="B258" s="215" t="s">
        <v>286</v>
      </c>
      <c r="C258" s="42" t="s">
        <v>385</v>
      </c>
      <c r="D258" s="43" t="s">
        <v>453</v>
      </c>
      <c r="E258" s="70" t="s">
        <v>963</v>
      </c>
      <c r="F258" s="70" t="s">
        <v>963</v>
      </c>
      <c r="G258" s="213" t="s">
        <v>1160</v>
      </c>
    </row>
    <row r="259" spans="1:7" ht="31.5" x14ac:dyDescent="0.25">
      <c r="A259" s="211" t="s">
        <v>672</v>
      </c>
      <c r="B259" s="212" t="s">
        <v>30</v>
      </c>
      <c r="C259" s="42" t="s">
        <v>661</v>
      </c>
      <c r="D259" s="43" t="s">
        <v>86</v>
      </c>
      <c r="E259" s="70" t="s">
        <v>752</v>
      </c>
      <c r="F259" s="70" t="s">
        <v>963</v>
      </c>
      <c r="G259" s="213" t="s">
        <v>1161</v>
      </c>
    </row>
    <row r="260" spans="1:7" ht="31.5" x14ac:dyDescent="0.25">
      <c r="A260" s="211" t="s">
        <v>672</v>
      </c>
      <c r="B260" s="214" t="s">
        <v>30</v>
      </c>
      <c r="C260" s="42" t="s">
        <v>662</v>
      </c>
      <c r="D260" s="43" t="s">
        <v>87</v>
      </c>
      <c r="E260" s="70" t="s">
        <v>752</v>
      </c>
      <c r="F260" s="70" t="s">
        <v>963</v>
      </c>
      <c r="G260" s="213" t="s">
        <v>1161</v>
      </c>
    </row>
    <row r="261" spans="1:7" ht="31.5" x14ac:dyDescent="0.25">
      <c r="A261" s="211" t="s">
        <v>672</v>
      </c>
      <c r="B261" s="214" t="s">
        <v>30</v>
      </c>
      <c r="C261" s="42" t="s">
        <v>663</v>
      </c>
      <c r="D261" s="43" t="s">
        <v>88</v>
      </c>
      <c r="E261" s="70" t="s">
        <v>752</v>
      </c>
      <c r="F261" s="70" t="s">
        <v>963</v>
      </c>
      <c r="G261" s="213" t="s">
        <v>1161</v>
      </c>
    </row>
    <row r="262" spans="1:7" ht="31.5" x14ac:dyDescent="0.25">
      <c r="A262" s="211" t="s">
        <v>672</v>
      </c>
      <c r="B262" s="214" t="s">
        <v>30</v>
      </c>
      <c r="C262" s="42" t="s">
        <v>664</v>
      </c>
      <c r="D262" s="43" t="s">
        <v>89</v>
      </c>
      <c r="E262" s="70" t="s">
        <v>752</v>
      </c>
      <c r="F262" s="70" t="s">
        <v>963</v>
      </c>
      <c r="G262" s="213" t="s">
        <v>1161</v>
      </c>
    </row>
    <row r="263" spans="1:7" ht="31.5" x14ac:dyDescent="0.25">
      <c r="A263" s="211" t="s">
        <v>672</v>
      </c>
      <c r="B263" s="219" t="s">
        <v>30</v>
      </c>
      <c r="C263" s="42" t="s">
        <v>665</v>
      </c>
      <c r="D263" s="43" t="s">
        <v>90</v>
      </c>
      <c r="E263" s="70" t="s">
        <v>752</v>
      </c>
      <c r="F263" s="70" t="s">
        <v>963</v>
      </c>
      <c r="G263" s="213" t="s">
        <v>1161</v>
      </c>
    </row>
    <row r="264" spans="1:7" ht="31.5" x14ac:dyDescent="0.25">
      <c r="A264" s="211" t="s">
        <v>672</v>
      </c>
      <c r="B264" s="214" t="s">
        <v>30</v>
      </c>
      <c r="C264" s="42" t="s">
        <v>666</v>
      </c>
      <c r="D264" s="43" t="s">
        <v>744</v>
      </c>
      <c r="E264" s="70" t="s">
        <v>752</v>
      </c>
      <c r="F264" s="70" t="s">
        <v>963</v>
      </c>
      <c r="G264" s="213" t="s">
        <v>1161</v>
      </c>
    </row>
    <row r="265" spans="1:7" ht="31.5" x14ac:dyDescent="0.25">
      <c r="A265" s="211" t="s">
        <v>672</v>
      </c>
      <c r="B265" s="214" t="s">
        <v>30</v>
      </c>
      <c r="C265" s="42" t="s">
        <v>667</v>
      </c>
      <c r="D265" s="43" t="s">
        <v>91</v>
      </c>
      <c r="E265" s="70" t="s">
        <v>752</v>
      </c>
      <c r="F265" s="70" t="s">
        <v>963</v>
      </c>
      <c r="G265" s="213" t="s">
        <v>1161</v>
      </c>
    </row>
    <row r="266" spans="1:7" ht="25.5" x14ac:dyDescent="0.25">
      <c r="A266" s="211" t="s">
        <v>672</v>
      </c>
      <c r="B266" s="214" t="s">
        <v>30</v>
      </c>
      <c r="C266" s="42" t="s">
        <v>668</v>
      </c>
      <c r="D266" s="43" t="s">
        <v>454</v>
      </c>
      <c r="E266" s="70" t="s">
        <v>963</v>
      </c>
      <c r="F266" s="70" t="s">
        <v>963</v>
      </c>
      <c r="G266" s="213" t="s">
        <v>1162</v>
      </c>
    </row>
    <row r="267" spans="1:7" ht="25.5" x14ac:dyDescent="0.25">
      <c r="A267" s="211" t="s">
        <v>672</v>
      </c>
      <c r="B267" s="214" t="s">
        <v>30</v>
      </c>
      <c r="C267" s="42" t="s">
        <v>669</v>
      </c>
      <c r="D267" s="43" t="s">
        <v>455</v>
      </c>
      <c r="E267" s="70" t="s">
        <v>963</v>
      </c>
      <c r="F267" s="70" t="s">
        <v>963</v>
      </c>
      <c r="G267" s="213" t="s">
        <v>1162</v>
      </c>
    </row>
    <row r="268" spans="1:7" ht="31.5" x14ac:dyDescent="0.25">
      <c r="A268" s="211" t="s">
        <v>672</v>
      </c>
      <c r="B268" s="214" t="s">
        <v>30</v>
      </c>
      <c r="C268" s="42" t="s">
        <v>670</v>
      </c>
      <c r="D268" s="43" t="s">
        <v>34</v>
      </c>
      <c r="E268" s="70" t="s">
        <v>752</v>
      </c>
      <c r="F268" s="70" t="s">
        <v>963</v>
      </c>
      <c r="G268" s="213" t="s">
        <v>1161</v>
      </c>
    </row>
    <row r="269" spans="1:7" ht="47.25" x14ac:dyDescent="0.25">
      <c r="A269" s="211" t="s">
        <v>672</v>
      </c>
      <c r="B269" s="214" t="s">
        <v>30</v>
      </c>
      <c r="C269" s="42" t="s">
        <v>671</v>
      </c>
      <c r="D269" s="43" t="s">
        <v>70</v>
      </c>
      <c r="E269" s="70" t="s">
        <v>963</v>
      </c>
      <c r="F269" s="70" t="s">
        <v>963</v>
      </c>
      <c r="G269" s="213" t="s">
        <v>1161</v>
      </c>
    </row>
    <row r="270" spans="1:7" ht="31.5" x14ac:dyDescent="0.25">
      <c r="A270" s="211" t="s">
        <v>672</v>
      </c>
      <c r="B270" s="214" t="s">
        <v>30</v>
      </c>
      <c r="C270" s="42" t="s">
        <v>745</v>
      </c>
      <c r="D270" s="43" t="s">
        <v>71</v>
      </c>
      <c r="E270" s="70" t="s">
        <v>963</v>
      </c>
      <c r="F270" s="70" t="s">
        <v>963</v>
      </c>
      <c r="G270" s="213" t="s">
        <v>1161</v>
      </c>
    </row>
    <row r="271" spans="1:7" ht="31.5" x14ac:dyDescent="0.25">
      <c r="A271" s="211" t="s">
        <v>672</v>
      </c>
      <c r="B271" s="216" t="s">
        <v>30</v>
      </c>
      <c r="C271" s="42" t="s">
        <v>753</v>
      </c>
      <c r="D271" s="43" t="s">
        <v>75</v>
      </c>
      <c r="E271" s="70" t="s">
        <v>963</v>
      </c>
      <c r="F271" s="70" t="s">
        <v>963</v>
      </c>
      <c r="G271" s="213" t="s">
        <v>1161</v>
      </c>
    </row>
    <row r="272" spans="1:7" x14ac:dyDescent="0.25">
      <c r="A272" s="62">
        <v>8</v>
      </c>
      <c r="B272" s="63" t="s">
        <v>17</v>
      </c>
      <c r="C272" s="64"/>
      <c r="D272" s="222"/>
      <c r="E272" s="65"/>
      <c r="F272" s="65"/>
      <c r="G272" s="223"/>
    </row>
    <row r="273" spans="1:7" ht="31.5" x14ac:dyDescent="0.25">
      <c r="A273" s="211" t="s">
        <v>80</v>
      </c>
      <c r="B273" s="212" t="s">
        <v>701</v>
      </c>
      <c r="C273" s="42" t="s">
        <v>387</v>
      </c>
      <c r="D273" s="43" t="s">
        <v>673</v>
      </c>
      <c r="E273" s="70" t="s">
        <v>750</v>
      </c>
      <c r="F273" s="70" t="s">
        <v>963</v>
      </c>
      <c r="G273" s="213" t="s">
        <v>1163</v>
      </c>
    </row>
    <row r="274" spans="1:7" x14ac:dyDescent="0.25">
      <c r="A274" s="211" t="s">
        <v>80</v>
      </c>
      <c r="B274" s="219" t="s">
        <v>701</v>
      </c>
      <c r="C274" s="42" t="s">
        <v>388</v>
      </c>
      <c r="D274" s="43" t="s">
        <v>674</v>
      </c>
      <c r="E274" s="70" t="s">
        <v>750</v>
      </c>
      <c r="F274" s="70" t="s">
        <v>963</v>
      </c>
      <c r="G274" s="213" t="s">
        <v>1164</v>
      </c>
    </row>
    <row r="275" spans="1:7" x14ac:dyDescent="0.25">
      <c r="A275" s="211" t="s">
        <v>80</v>
      </c>
      <c r="B275" s="216" t="s">
        <v>701</v>
      </c>
      <c r="C275" s="42" t="s">
        <v>389</v>
      </c>
      <c r="D275" s="43" t="s">
        <v>675</v>
      </c>
      <c r="E275" s="70" t="s">
        <v>750</v>
      </c>
      <c r="F275" s="70" t="s">
        <v>963</v>
      </c>
      <c r="G275" s="213" t="s">
        <v>1165</v>
      </c>
    </row>
    <row r="276" spans="1:7" x14ac:dyDescent="0.25">
      <c r="A276" s="211" t="s">
        <v>81</v>
      </c>
      <c r="B276" s="212" t="s">
        <v>702</v>
      </c>
      <c r="C276" s="42" t="s">
        <v>390</v>
      </c>
      <c r="D276" s="43" t="s">
        <v>676</v>
      </c>
      <c r="E276" s="70" t="s">
        <v>750</v>
      </c>
      <c r="F276" s="70" t="s">
        <v>963</v>
      </c>
      <c r="G276" s="213" t="s">
        <v>1165</v>
      </c>
    </row>
    <row r="277" spans="1:7" x14ac:dyDescent="0.25">
      <c r="A277" s="211" t="s">
        <v>81</v>
      </c>
      <c r="B277" s="214" t="s">
        <v>702</v>
      </c>
      <c r="C277" s="42" t="s">
        <v>391</v>
      </c>
      <c r="D277" s="43" t="s">
        <v>677</v>
      </c>
      <c r="E277" s="70" t="s">
        <v>750</v>
      </c>
      <c r="F277" s="70" t="s">
        <v>762</v>
      </c>
      <c r="G277" s="213" t="s">
        <v>1165</v>
      </c>
    </row>
    <row r="278" spans="1:7" x14ac:dyDescent="0.25">
      <c r="A278" s="211" t="s">
        <v>81</v>
      </c>
      <c r="B278" s="214" t="s">
        <v>702</v>
      </c>
      <c r="C278" s="42" t="s">
        <v>678</v>
      </c>
      <c r="D278" s="43" t="s">
        <v>679</v>
      </c>
      <c r="E278" s="43" t="s">
        <v>750</v>
      </c>
      <c r="F278" s="70" t="s">
        <v>762</v>
      </c>
      <c r="G278" s="233" t="s">
        <v>1165</v>
      </c>
    </row>
    <row r="279" spans="1:7" ht="31.5" x14ac:dyDescent="0.25">
      <c r="A279" s="211" t="s">
        <v>81</v>
      </c>
      <c r="B279" s="219" t="s">
        <v>702</v>
      </c>
      <c r="C279" s="42" t="s">
        <v>680</v>
      </c>
      <c r="D279" s="43" t="s">
        <v>937</v>
      </c>
      <c r="E279" s="43" t="s">
        <v>963</v>
      </c>
      <c r="F279" s="70" t="s">
        <v>762</v>
      </c>
      <c r="G279" s="233" t="s">
        <v>1165</v>
      </c>
    </row>
    <row r="280" spans="1:7" ht="31.5" x14ac:dyDescent="0.25">
      <c r="A280" s="211" t="s">
        <v>81</v>
      </c>
      <c r="B280" s="219"/>
      <c r="C280" s="42" t="s">
        <v>681</v>
      </c>
      <c r="D280" s="43" t="s">
        <v>456</v>
      </c>
      <c r="E280" s="43" t="s">
        <v>963</v>
      </c>
      <c r="F280" s="70" t="s">
        <v>963</v>
      </c>
      <c r="G280" s="233" t="s">
        <v>1166</v>
      </c>
    </row>
    <row r="281" spans="1:7" ht="31.5" x14ac:dyDescent="0.25">
      <c r="A281" s="211" t="s">
        <v>81</v>
      </c>
      <c r="B281" s="214" t="s">
        <v>702</v>
      </c>
      <c r="C281" s="42" t="s">
        <v>682</v>
      </c>
      <c r="D281" s="43" t="s">
        <v>72</v>
      </c>
      <c r="E281" s="43" t="s">
        <v>963</v>
      </c>
      <c r="F281" s="70" t="s">
        <v>963</v>
      </c>
      <c r="G281" s="233" t="s">
        <v>1167</v>
      </c>
    </row>
    <row r="282" spans="1:7" ht="31.5" x14ac:dyDescent="0.25">
      <c r="A282" s="211" t="s">
        <v>81</v>
      </c>
      <c r="B282" s="214" t="s">
        <v>702</v>
      </c>
      <c r="C282" s="42" t="s">
        <v>683</v>
      </c>
      <c r="D282" s="43" t="s">
        <v>74</v>
      </c>
      <c r="E282" s="43" t="s">
        <v>963</v>
      </c>
      <c r="F282" s="70" t="s">
        <v>963</v>
      </c>
      <c r="G282" s="233" t="s">
        <v>1168</v>
      </c>
    </row>
    <row r="283" spans="1:7" ht="31.5" x14ac:dyDescent="0.25">
      <c r="A283" s="211" t="s">
        <v>81</v>
      </c>
      <c r="B283" s="216" t="s">
        <v>702</v>
      </c>
      <c r="C283" s="42" t="s">
        <v>787</v>
      </c>
      <c r="D283" s="43" t="s">
        <v>938</v>
      </c>
      <c r="E283" s="43" t="s">
        <v>963</v>
      </c>
      <c r="F283" s="70" t="s">
        <v>763</v>
      </c>
      <c r="G283" s="233" t="s">
        <v>1169</v>
      </c>
    </row>
    <row r="284" spans="1:7" ht="31.5" x14ac:dyDescent="0.25">
      <c r="A284" s="211" t="s">
        <v>317</v>
      </c>
      <c r="B284" s="212" t="s">
        <v>703</v>
      </c>
      <c r="C284" s="42" t="s">
        <v>392</v>
      </c>
      <c r="D284" s="43" t="s">
        <v>684</v>
      </c>
      <c r="E284" s="43" t="s">
        <v>746</v>
      </c>
      <c r="F284" s="70" t="s">
        <v>963</v>
      </c>
      <c r="G284" s="233" t="s">
        <v>1170</v>
      </c>
    </row>
    <row r="285" spans="1:7" ht="31.5" x14ac:dyDescent="0.25">
      <c r="A285" s="234" t="s">
        <v>317</v>
      </c>
      <c r="B285" s="214" t="s">
        <v>703</v>
      </c>
      <c r="C285" s="42" t="s">
        <v>820</v>
      </c>
      <c r="D285" s="43" t="s">
        <v>786</v>
      </c>
      <c r="E285" s="43" t="s">
        <v>963</v>
      </c>
      <c r="F285" s="70" t="s">
        <v>763</v>
      </c>
      <c r="G285" s="233" t="s">
        <v>1171</v>
      </c>
    </row>
    <row r="286" spans="1:7" ht="31.5" x14ac:dyDescent="0.25">
      <c r="A286" s="234" t="s">
        <v>317</v>
      </c>
      <c r="B286" s="214" t="s">
        <v>703</v>
      </c>
      <c r="C286" s="42" t="s">
        <v>685</v>
      </c>
      <c r="D286" s="43" t="s">
        <v>687</v>
      </c>
      <c r="E286" s="43" t="s">
        <v>963</v>
      </c>
      <c r="F286" s="70" t="s">
        <v>763</v>
      </c>
      <c r="G286" s="233" t="s">
        <v>1172</v>
      </c>
    </row>
    <row r="287" spans="1:7" ht="31.5" x14ac:dyDescent="0.25">
      <c r="A287" s="211" t="s">
        <v>317</v>
      </c>
      <c r="B287" s="214" t="s">
        <v>703</v>
      </c>
      <c r="C287" s="45" t="s">
        <v>686</v>
      </c>
      <c r="D287" s="43" t="s">
        <v>689</v>
      </c>
      <c r="E287" s="43" t="s">
        <v>963</v>
      </c>
      <c r="F287" s="70" t="s">
        <v>763</v>
      </c>
      <c r="G287" s="233" t="s">
        <v>1173</v>
      </c>
    </row>
    <row r="288" spans="1:7" ht="31.5" x14ac:dyDescent="0.25">
      <c r="A288" s="211" t="s">
        <v>317</v>
      </c>
      <c r="B288" s="219" t="s">
        <v>703</v>
      </c>
      <c r="C288" s="42" t="s">
        <v>688</v>
      </c>
      <c r="D288" s="43" t="s">
        <v>691</v>
      </c>
      <c r="E288" s="43" t="s">
        <v>963</v>
      </c>
      <c r="F288" s="70" t="s">
        <v>763</v>
      </c>
      <c r="G288" s="233" t="s">
        <v>1174</v>
      </c>
    </row>
    <row r="289" spans="1:7" ht="47.25" x14ac:dyDescent="0.25">
      <c r="A289" s="211" t="s">
        <v>317</v>
      </c>
      <c r="B289" s="214" t="s">
        <v>703</v>
      </c>
      <c r="C289" s="42" t="s">
        <v>690</v>
      </c>
      <c r="D289" s="43" t="s">
        <v>693</v>
      </c>
      <c r="E289" s="43" t="s">
        <v>963</v>
      </c>
      <c r="F289" s="70" t="s">
        <v>763</v>
      </c>
      <c r="G289" s="233" t="s">
        <v>1175</v>
      </c>
    </row>
    <row r="290" spans="1:7" ht="47.25" x14ac:dyDescent="0.25">
      <c r="A290" s="211" t="s">
        <v>317</v>
      </c>
      <c r="B290" s="214" t="s">
        <v>703</v>
      </c>
      <c r="C290" s="42" t="s">
        <v>692</v>
      </c>
      <c r="D290" s="43" t="s">
        <v>838</v>
      </c>
      <c r="E290" s="43" t="s">
        <v>963</v>
      </c>
      <c r="F290" s="70" t="s">
        <v>763</v>
      </c>
      <c r="G290" s="233" t="s">
        <v>1176</v>
      </c>
    </row>
    <row r="291" spans="1:7" ht="31.5" x14ac:dyDescent="0.25">
      <c r="A291" s="211" t="s">
        <v>318</v>
      </c>
      <c r="B291" s="212" t="s">
        <v>272</v>
      </c>
      <c r="C291" s="42" t="s">
        <v>393</v>
      </c>
      <c r="D291" s="43" t="s">
        <v>292</v>
      </c>
      <c r="E291" s="43" t="s">
        <v>963</v>
      </c>
      <c r="F291" s="70" t="s">
        <v>963</v>
      </c>
      <c r="G291" s="233" t="s">
        <v>1177</v>
      </c>
    </row>
    <row r="292" spans="1:7" ht="47.25" x14ac:dyDescent="0.25">
      <c r="A292" s="211" t="s">
        <v>318</v>
      </c>
      <c r="B292" s="220" t="s">
        <v>272</v>
      </c>
      <c r="C292" s="42" t="s">
        <v>694</v>
      </c>
      <c r="D292" s="43" t="s">
        <v>695</v>
      </c>
      <c r="E292" s="43" t="s">
        <v>963</v>
      </c>
      <c r="F292" s="70" t="s">
        <v>963</v>
      </c>
      <c r="G292" s="233" t="s">
        <v>1178</v>
      </c>
    </row>
    <row r="293" spans="1:7" ht="63" x14ac:dyDescent="0.25">
      <c r="A293" s="211" t="s">
        <v>318</v>
      </c>
      <c r="B293" s="216" t="s">
        <v>272</v>
      </c>
      <c r="C293" s="42" t="s">
        <v>696</v>
      </c>
      <c r="D293" s="43" t="s">
        <v>697</v>
      </c>
      <c r="E293" s="43" t="s">
        <v>963</v>
      </c>
      <c r="F293" s="70" t="s">
        <v>763</v>
      </c>
      <c r="G293" s="233" t="s">
        <v>1179</v>
      </c>
    </row>
    <row r="294" spans="1:7" ht="31.5" x14ac:dyDescent="0.25">
      <c r="A294" s="211" t="s">
        <v>319</v>
      </c>
      <c r="B294" s="235" t="s">
        <v>282</v>
      </c>
      <c r="C294" s="42" t="s">
        <v>394</v>
      </c>
      <c r="D294" s="43" t="s">
        <v>423</v>
      </c>
      <c r="E294" s="43" t="s">
        <v>963</v>
      </c>
      <c r="F294" s="70" t="s">
        <v>963</v>
      </c>
      <c r="G294" s="233" t="s">
        <v>1180</v>
      </c>
    </row>
    <row r="295" spans="1:7" ht="31.5" x14ac:dyDescent="0.25">
      <c r="A295" s="211" t="s">
        <v>319</v>
      </c>
      <c r="B295" s="216" t="s">
        <v>282</v>
      </c>
      <c r="C295" s="42" t="s">
        <v>698</v>
      </c>
      <c r="D295" s="43" t="s">
        <v>939</v>
      </c>
      <c r="E295" s="43" t="s">
        <v>963</v>
      </c>
      <c r="F295" s="70" t="s">
        <v>963</v>
      </c>
      <c r="G295" s="233" t="s">
        <v>1181</v>
      </c>
    </row>
    <row r="296" spans="1:7" ht="31.5" x14ac:dyDescent="0.25">
      <c r="A296" s="211" t="s">
        <v>320</v>
      </c>
      <c r="B296" s="212" t="s">
        <v>283</v>
      </c>
      <c r="C296" s="42" t="s">
        <v>395</v>
      </c>
      <c r="D296" s="43" t="s">
        <v>940</v>
      </c>
      <c r="E296" s="43" t="s">
        <v>963</v>
      </c>
      <c r="F296" s="70" t="s">
        <v>762</v>
      </c>
      <c r="G296" s="233" t="s">
        <v>1182</v>
      </c>
    </row>
    <row r="297" spans="1:7" x14ac:dyDescent="0.25">
      <c r="A297" s="211" t="s">
        <v>320</v>
      </c>
      <c r="B297" s="214" t="s">
        <v>283</v>
      </c>
      <c r="C297" s="42" t="s">
        <v>396</v>
      </c>
      <c r="D297" s="43" t="s">
        <v>941</v>
      </c>
      <c r="E297" s="43" t="s">
        <v>963</v>
      </c>
      <c r="F297" s="70" t="s">
        <v>762</v>
      </c>
      <c r="G297" s="233" t="s">
        <v>1183</v>
      </c>
    </row>
    <row r="298" spans="1:7" ht="31.5" x14ac:dyDescent="0.25">
      <c r="A298" s="211" t="s">
        <v>320</v>
      </c>
      <c r="B298" s="219" t="s">
        <v>283</v>
      </c>
      <c r="C298" s="42" t="s">
        <v>699</v>
      </c>
      <c r="D298" s="43" t="s">
        <v>942</v>
      </c>
      <c r="E298" s="43" t="s">
        <v>963</v>
      </c>
      <c r="F298" s="70" t="s">
        <v>762</v>
      </c>
      <c r="G298" s="233" t="s">
        <v>1184</v>
      </c>
    </row>
    <row r="299" spans="1:7" ht="31.5" x14ac:dyDescent="0.25">
      <c r="A299" s="211" t="s">
        <v>320</v>
      </c>
      <c r="B299" s="216" t="s">
        <v>283</v>
      </c>
      <c r="C299" s="42" t="s">
        <v>700</v>
      </c>
      <c r="D299" s="43" t="s">
        <v>943</v>
      </c>
      <c r="E299" s="43" t="s">
        <v>963</v>
      </c>
      <c r="F299" s="70" t="s">
        <v>762</v>
      </c>
      <c r="G299" s="233" t="s">
        <v>1182</v>
      </c>
    </row>
    <row r="300" spans="1:7" ht="47.25" x14ac:dyDescent="0.25">
      <c r="A300" s="211" t="s">
        <v>321</v>
      </c>
      <c r="B300" s="44" t="s">
        <v>513</v>
      </c>
      <c r="C300" s="42" t="s">
        <v>397</v>
      </c>
      <c r="D300" s="43" t="s">
        <v>944</v>
      </c>
      <c r="E300" s="43" t="s">
        <v>963</v>
      </c>
      <c r="F300" s="70" t="s">
        <v>963</v>
      </c>
      <c r="G300" s="233" t="s">
        <v>1185</v>
      </c>
    </row>
    <row r="301" spans="1:7" x14ac:dyDescent="0.25">
      <c r="A301" s="62">
        <v>9</v>
      </c>
      <c r="B301" s="63" t="s">
        <v>410</v>
      </c>
      <c r="C301" s="64"/>
      <c r="D301" s="222"/>
      <c r="E301" s="65"/>
      <c r="F301" s="65"/>
      <c r="G301" s="223"/>
    </row>
    <row r="302" spans="1:7" x14ac:dyDescent="0.25">
      <c r="A302" s="211" t="s">
        <v>398</v>
      </c>
      <c r="B302" s="218" t="s">
        <v>492</v>
      </c>
      <c r="C302" s="45" t="s">
        <v>399</v>
      </c>
      <c r="D302" s="46" t="s">
        <v>493</v>
      </c>
      <c r="E302" s="70" t="s">
        <v>963</v>
      </c>
      <c r="F302" s="70" t="s">
        <v>963</v>
      </c>
      <c r="G302" s="213" t="s">
        <v>1186</v>
      </c>
    </row>
    <row r="303" spans="1:7" ht="31.5" x14ac:dyDescent="0.25">
      <c r="A303" s="211" t="s">
        <v>398</v>
      </c>
      <c r="B303" s="216" t="s">
        <v>492</v>
      </c>
      <c r="C303" s="45" t="s">
        <v>501</v>
      </c>
      <c r="D303" s="46" t="s">
        <v>494</v>
      </c>
      <c r="E303" s="70" t="s">
        <v>963</v>
      </c>
      <c r="F303" s="70" t="s">
        <v>963</v>
      </c>
      <c r="G303" s="213" t="s">
        <v>1187</v>
      </c>
    </row>
    <row r="304" spans="1:7" x14ac:dyDescent="0.25">
      <c r="A304" s="211" t="s">
        <v>400</v>
      </c>
      <c r="B304" s="212" t="s">
        <v>495</v>
      </c>
      <c r="C304" s="42" t="s">
        <v>401</v>
      </c>
      <c r="D304" s="43" t="s">
        <v>496</v>
      </c>
      <c r="E304" s="70" t="s">
        <v>963</v>
      </c>
      <c r="F304" s="70" t="s">
        <v>963</v>
      </c>
      <c r="G304" s="213" t="s">
        <v>1188</v>
      </c>
    </row>
    <row r="305" spans="1:7" ht="31.5" x14ac:dyDescent="0.25">
      <c r="A305" s="211" t="s">
        <v>400</v>
      </c>
      <c r="B305" s="219" t="s">
        <v>495</v>
      </c>
      <c r="C305" s="42" t="s">
        <v>502</v>
      </c>
      <c r="D305" s="43" t="s">
        <v>497</v>
      </c>
      <c r="E305" s="70" t="s">
        <v>963</v>
      </c>
      <c r="F305" s="70" t="s">
        <v>963</v>
      </c>
      <c r="G305" s="213" t="s">
        <v>1189</v>
      </c>
    </row>
    <row r="306" spans="1:7" ht="31.5" x14ac:dyDescent="0.25">
      <c r="A306" s="211" t="s">
        <v>400</v>
      </c>
      <c r="B306" s="216" t="s">
        <v>495</v>
      </c>
      <c r="C306" s="42" t="s">
        <v>503</v>
      </c>
      <c r="D306" s="43" t="s">
        <v>498</v>
      </c>
      <c r="E306" s="70" t="s">
        <v>963</v>
      </c>
      <c r="F306" s="70" t="s">
        <v>963</v>
      </c>
      <c r="G306" s="213" t="s">
        <v>1190</v>
      </c>
    </row>
    <row r="307" spans="1:7" x14ac:dyDescent="0.25">
      <c r="A307" s="211" t="s">
        <v>406</v>
      </c>
      <c r="B307" s="218" t="s">
        <v>288</v>
      </c>
      <c r="C307" s="42" t="s">
        <v>402</v>
      </c>
      <c r="D307" s="43" t="s">
        <v>301</v>
      </c>
      <c r="E307" s="70" t="s">
        <v>963</v>
      </c>
      <c r="F307" s="70" t="s">
        <v>963</v>
      </c>
      <c r="G307" s="213" t="s">
        <v>1191</v>
      </c>
    </row>
    <row r="308" spans="1:7" ht="31.5" x14ac:dyDescent="0.25">
      <c r="A308" s="211" t="s">
        <v>406</v>
      </c>
      <c r="B308" s="216" t="s">
        <v>288</v>
      </c>
      <c r="C308" s="42" t="s">
        <v>411</v>
      </c>
      <c r="D308" s="43" t="s">
        <v>302</v>
      </c>
      <c r="E308" s="70" t="s">
        <v>963</v>
      </c>
      <c r="F308" s="70" t="s">
        <v>963</v>
      </c>
      <c r="G308" s="213" t="s">
        <v>1192</v>
      </c>
    </row>
    <row r="309" spans="1:7" x14ac:dyDescent="0.25">
      <c r="A309" s="211" t="s">
        <v>407</v>
      </c>
      <c r="B309" s="218" t="s">
        <v>187</v>
      </c>
      <c r="C309" s="42" t="s">
        <v>403</v>
      </c>
      <c r="D309" s="43" t="s">
        <v>73</v>
      </c>
      <c r="E309" s="70" t="s">
        <v>963</v>
      </c>
      <c r="F309" s="70" t="s">
        <v>963</v>
      </c>
      <c r="G309" s="213" t="s">
        <v>1193</v>
      </c>
    </row>
    <row r="310" spans="1:7" ht="31.5" x14ac:dyDescent="0.25">
      <c r="A310" s="211" t="s">
        <v>407</v>
      </c>
      <c r="B310" s="216" t="s">
        <v>187</v>
      </c>
      <c r="C310" s="42" t="s">
        <v>404</v>
      </c>
      <c r="D310" s="43" t="s">
        <v>457</v>
      </c>
      <c r="E310" s="70" t="s">
        <v>963</v>
      </c>
      <c r="F310" s="70" t="s">
        <v>963</v>
      </c>
      <c r="G310" s="213" t="s">
        <v>1193</v>
      </c>
    </row>
    <row r="311" spans="1:7" ht="31.5" x14ac:dyDescent="0.25">
      <c r="A311" s="211" t="s">
        <v>408</v>
      </c>
      <c r="B311" s="44" t="s">
        <v>500</v>
      </c>
      <c r="C311" s="42" t="s">
        <v>405</v>
      </c>
      <c r="D311" s="43" t="s">
        <v>458</v>
      </c>
      <c r="E311" s="70" t="s">
        <v>963</v>
      </c>
      <c r="F311" s="70" t="s">
        <v>963</v>
      </c>
      <c r="G311" s="213" t="s">
        <v>1194</v>
      </c>
    </row>
    <row r="312" spans="1:7" ht="31.5" x14ac:dyDescent="0.25">
      <c r="A312" s="211" t="s">
        <v>409</v>
      </c>
      <c r="B312" s="44" t="s">
        <v>289</v>
      </c>
      <c r="C312" s="42" t="s">
        <v>504</v>
      </c>
      <c r="D312" s="43" t="s">
        <v>303</v>
      </c>
      <c r="E312" s="70" t="s">
        <v>963</v>
      </c>
      <c r="F312" s="70" t="s">
        <v>963</v>
      </c>
      <c r="G312" s="213" t="s">
        <v>1195</v>
      </c>
    </row>
    <row r="313" spans="1:7" x14ac:dyDescent="0.25">
      <c r="A313" s="62">
        <v>10</v>
      </c>
      <c r="B313" s="63" t="s">
        <v>704</v>
      </c>
      <c r="C313" s="64"/>
      <c r="D313" s="222"/>
      <c r="E313" s="65"/>
      <c r="F313" s="65"/>
      <c r="G313" s="223"/>
    </row>
    <row r="314" spans="1:7" ht="47.25" x14ac:dyDescent="0.25">
      <c r="A314" s="211" t="s">
        <v>330</v>
      </c>
      <c r="B314" s="44" t="s">
        <v>715</v>
      </c>
      <c r="C314" s="42" t="s">
        <v>192</v>
      </c>
      <c r="D314" s="43" t="s">
        <v>839</v>
      </c>
      <c r="E314" s="70" t="s">
        <v>963</v>
      </c>
      <c r="F314" s="70" t="s">
        <v>763</v>
      </c>
      <c r="G314" s="213" t="s">
        <v>1196</v>
      </c>
    </row>
    <row r="315" spans="1:7" ht="63" x14ac:dyDescent="0.25">
      <c r="A315" s="211" t="s">
        <v>331</v>
      </c>
      <c r="B315" s="44" t="s">
        <v>716</v>
      </c>
      <c r="C315" s="42" t="s">
        <v>188</v>
      </c>
      <c r="D315" s="43" t="s">
        <v>707</v>
      </c>
      <c r="E315" s="70" t="s">
        <v>963</v>
      </c>
      <c r="F315" s="70" t="s">
        <v>763</v>
      </c>
      <c r="G315" s="213" t="s">
        <v>1197</v>
      </c>
    </row>
    <row r="316" spans="1:7" x14ac:dyDescent="0.25">
      <c r="A316" s="62">
        <v>11</v>
      </c>
      <c r="B316" s="63" t="s">
        <v>705</v>
      </c>
      <c r="C316" s="64"/>
      <c r="D316" s="222"/>
      <c r="E316" s="65"/>
      <c r="F316" s="65"/>
      <c r="G316" s="223"/>
    </row>
    <row r="317" spans="1:7" ht="31.5" x14ac:dyDescent="0.25">
      <c r="A317" s="211" t="s">
        <v>332</v>
      </c>
      <c r="B317" s="218" t="s">
        <v>717</v>
      </c>
      <c r="C317" s="42" t="s">
        <v>190</v>
      </c>
      <c r="D317" s="43" t="s">
        <v>708</v>
      </c>
      <c r="E317" s="70" t="s">
        <v>963</v>
      </c>
      <c r="F317" s="70" t="s">
        <v>763</v>
      </c>
      <c r="G317" s="213" t="s">
        <v>1198</v>
      </c>
    </row>
    <row r="318" spans="1:7" ht="78.75" x14ac:dyDescent="0.25">
      <c r="A318" s="211" t="s">
        <v>332</v>
      </c>
      <c r="B318" s="216" t="s">
        <v>717</v>
      </c>
      <c r="C318" s="42" t="s">
        <v>191</v>
      </c>
      <c r="D318" s="43" t="s">
        <v>945</v>
      </c>
      <c r="E318" s="70" t="s">
        <v>963</v>
      </c>
      <c r="F318" s="70" t="s">
        <v>763</v>
      </c>
      <c r="G318" s="213" t="s">
        <v>1199</v>
      </c>
    </row>
    <row r="319" spans="1:7" ht="47.25" x14ac:dyDescent="0.25">
      <c r="A319" s="211" t="s">
        <v>333</v>
      </c>
      <c r="B319" s="44" t="s">
        <v>718</v>
      </c>
      <c r="C319" s="42" t="s">
        <v>189</v>
      </c>
      <c r="D319" s="43" t="s">
        <v>840</v>
      </c>
      <c r="E319" s="70" t="s">
        <v>963</v>
      </c>
      <c r="F319" s="70" t="s">
        <v>763</v>
      </c>
      <c r="G319" s="213" t="s">
        <v>1200</v>
      </c>
    </row>
    <row r="320" spans="1:7" x14ac:dyDescent="0.25">
      <c r="A320" s="62">
        <v>12</v>
      </c>
      <c r="B320" s="63" t="s">
        <v>706</v>
      </c>
      <c r="C320" s="64"/>
      <c r="D320" s="222"/>
      <c r="E320" s="65"/>
      <c r="F320" s="65"/>
      <c r="G320" s="223"/>
    </row>
    <row r="321" spans="1:7" ht="25.5" x14ac:dyDescent="0.25">
      <c r="A321" s="211" t="s">
        <v>362</v>
      </c>
      <c r="B321" s="212" t="s">
        <v>719</v>
      </c>
      <c r="C321" s="42" t="s">
        <v>180</v>
      </c>
      <c r="D321" s="43" t="s">
        <v>946</v>
      </c>
      <c r="E321" s="70" t="s">
        <v>963</v>
      </c>
      <c r="F321" s="70" t="s">
        <v>763</v>
      </c>
      <c r="G321" s="213" t="s">
        <v>1201</v>
      </c>
    </row>
    <row r="322" spans="1:7" ht="31.5" x14ac:dyDescent="0.25">
      <c r="A322" s="211" t="s">
        <v>362</v>
      </c>
      <c r="B322" s="214" t="s">
        <v>719</v>
      </c>
      <c r="C322" s="42" t="s">
        <v>830</v>
      </c>
      <c r="D322" s="43" t="s">
        <v>837</v>
      </c>
      <c r="E322" s="70" t="s">
        <v>746</v>
      </c>
      <c r="F322" s="70" t="s">
        <v>963</v>
      </c>
      <c r="G322" s="213" t="s">
        <v>1202</v>
      </c>
    </row>
    <row r="323" spans="1:7" ht="31.5" x14ac:dyDescent="0.25">
      <c r="A323" s="211" t="s">
        <v>362</v>
      </c>
      <c r="B323" s="219" t="s">
        <v>719</v>
      </c>
      <c r="C323" s="42" t="s">
        <v>709</v>
      </c>
      <c r="D323" s="43" t="s">
        <v>947</v>
      </c>
      <c r="E323" s="70" t="s">
        <v>963</v>
      </c>
      <c r="F323" s="70" t="s">
        <v>763</v>
      </c>
      <c r="G323" s="213" t="s">
        <v>1203</v>
      </c>
    </row>
    <row r="324" spans="1:7" ht="31.5" x14ac:dyDescent="0.25">
      <c r="A324" s="211" t="s">
        <v>362</v>
      </c>
      <c r="B324" s="214" t="s">
        <v>719</v>
      </c>
      <c r="C324" s="42" t="s">
        <v>831</v>
      </c>
      <c r="D324" s="43" t="s">
        <v>712</v>
      </c>
      <c r="E324" s="70" t="s">
        <v>746</v>
      </c>
      <c r="F324" s="70" t="s">
        <v>963</v>
      </c>
      <c r="G324" s="213" t="s">
        <v>1204</v>
      </c>
    </row>
    <row r="325" spans="1:7" ht="31.5" x14ac:dyDescent="0.25">
      <c r="A325" s="211" t="s">
        <v>362</v>
      </c>
      <c r="B325" s="214" t="s">
        <v>719</v>
      </c>
      <c r="C325" s="42" t="s">
        <v>710</v>
      </c>
      <c r="D325" s="43" t="s">
        <v>713</v>
      </c>
      <c r="E325" s="70" t="s">
        <v>963</v>
      </c>
      <c r="F325" s="70" t="s">
        <v>961</v>
      </c>
      <c r="G325" s="213" t="s">
        <v>1205</v>
      </c>
    </row>
    <row r="326" spans="1:7" ht="31.5" x14ac:dyDescent="0.25">
      <c r="A326" s="211" t="s">
        <v>362</v>
      </c>
      <c r="B326" s="216" t="s">
        <v>719</v>
      </c>
      <c r="C326" s="42" t="s">
        <v>711</v>
      </c>
      <c r="D326" s="43" t="s">
        <v>714</v>
      </c>
      <c r="E326" s="70" t="s">
        <v>963</v>
      </c>
      <c r="F326" s="70" t="s">
        <v>763</v>
      </c>
      <c r="G326" s="213" t="s">
        <v>1206</v>
      </c>
    </row>
    <row r="327" spans="1:7" x14ac:dyDescent="0.25">
      <c r="A327" s="62">
        <v>13</v>
      </c>
      <c r="B327" s="63" t="s">
        <v>19</v>
      </c>
      <c r="C327" s="64"/>
      <c r="D327" s="222"/>
      <c r="E327" s="65"/>
      <c r="F327" s="65"/>
      <c r="G327" s="223"/>
    </row>
    <row r="328" spans="1:7" ht="47.25" x14ac:dyDescent="0.25">
      <c r="A328" s="211" t="s">
        <v>732</v>
      </c>
      <c r="B328" s="236" t="s">
        <v>178</v>
      </c>
      <c r="C328" s="45" t="s">
        <v>720</v>
      </c>
      <c r="D328" s="46" t="s">
        <v>721</v>
      </c>
      <c r="E328" s="70" t="s">
        <v>963</v>
      </c>
      <c r="F328" s="70" t="s">
        <v>763</v>
      </c>
      <c r="G328" s="213" t="s">
        <v>1207</v>
      </c>
    </row>
    <row r="329" spans="1:7" ht="31.5" x14ac:dyDescent="0.25">
      <c r="A329" s="211" t="s">
        <v>732</v>
      </c>
      <c r="B329" s="237" t="s">
        <v>178</v>
      </c>
      <c r="C329" s="45" t="s">
        <v>722</v>
      </c>
      <c r="D329" s="46" t="s">
        <v>428</v>
      </c>
      <c r="E329" s="70" t="s">
        <v>963</v>
      </c>
      <c r="F329" s="70" t="s">
        <v>763</v>
      </c>
      <c r="G329" s="213" t="s">
        <v>1208</v>
      </c>
    </row>
    <row r="330" spans="1:7" ht="31.5" x14ac:dyDescent="0.25">
      <c r="A330" s="211" t="s">
        <v>732</v>
      </c>
      <c r="B330" s="219" t="s">
        <v>178</v>
      </c>
      <c r="C330" s="42" t="s">
        <v>723</v>
      </c>
      <c r="D330" s="43" t="s">
        <v>179</v>
      </c>
      <c r="E330" s="70" t="s">
        <v>963</v>
      </c>
      <c r="F330" s="70" t="s">
        <v>963</v>
      </c>
      <c r="G330" s="213" t="s">
        <v>1209</v>
      </c>
    </row>
    <row r="331" spans="1:7" ht="31.5" x14ac:dyDescent="0.25">
      <c r="A331" s="211" t="s">
        <v>732</v>
      </c>
      <c r="B331" s="237" t="s">
        <v>178</v>
      </c>
      <c r="C331" s="42" t="s">
        <v>724</v>
      </c>
      <c r="D331" s="43" t="s">
        <v>429</v>
      </c>
      <c r="E331" s="70" t="s">
        <v>963</v>
      </c>
      <c r="F331" s="70" t="s">
        <v>963</v>
      </c>
      <c r="G331" s="213" t="s">
        <v>1210</v>
      </c>
    </row>
    <row r="332" spans="1:7" x14ac:dyDescent="0.25">
      <c r="A332" s="211" t="s">
        <v>732</v>
      </c>
      <c r="B332" s="237" t="s">
        <v>178</v>
      </c>
      <c r="C332" s="42" t="s">
        <v>725</v>
      </c>
      <c r="D332" s="43" t="s">
        <v>181</v>
      </c>
      <c r="E332" s="70" t="s">
        <v>963</v>
      </c>
      <c r="F332" s="70" t="s">
        <v>963</v>
      </c>
      <c r="G332" s="213" t="s">
        <v>1211</v>
      </c>
    </row>
    <row r="333" spans="1:7" ht="31.5" x14ac:dyDescent="0.25">
      <c r="A333" s="211" t="s">
        <v>732</v>
      </c>
      <c r="B333" s="238" t="s">
        <v>178</v>
      </c>
      <c r="C333" s="42" t="s">
        <v>726</v>
      </c>
      <c r="D333" s="43" t="s">
        <v>183</v>
      </c>
      <c r="E333" s="70" t="s">
        <v>963</v>
      </c>
      <c r="F333" s="70" t="s">
        <v>963</v>
      </c>
      <c r="G333" s="213" t="s">
        <v>1212</v>
      </c>
    </row>
    <row r="334" spans="1:7" ht="47.25" x14ac:dyDescent="0.25">
      <c r="A334" s="211" t="s">
        <v>733</v>
      </c>
      <c r="B334" s="239" t="s">
        <v>178</v>
      </c>
      <c r="C334" s="42" t="s">
        <v>727</v>
      </c>
      <c r="D334" s="43" t="s">
        <v>426</v>
      </c>
      <c r="E334" s="70" t="s">
        <v>963</v>
      </c>
      <c r="F334" s="70" t="s">
        <v>963</v>
      </c>
      <c r="G334" s="213" t="s">
        <v>1213</v>
      </c>
    </row>
    <row r="335" spans="1:7" ht="47.25" x14ac:dyDescent="0.25">
      <c r="A335" s="211" t="s">
        <v>733</v>
      </c>
      <c r="B335" s="212" t="s">
        <v>177</v>
      </c>
      <c r="C335" s="42" t="s">
        <v>728</v>
      </c>
      <c r="D335" s="43" t="s">
        <v>427</v>
      </c>
      <c r="E335" s="70" t="s">
        <v>963</v>
      </c>
      <c r="F335" s="70" t="s">
        <v>963</v>
      </c>
      <c r="G335" s="213" t="s">
        <v>1213</v>
      </c>
    </row>
    <row r="336" spans="1:7" ht="47.25" x14ac:dyDescent="0.25">
      <c r="A336" s="211" t="s">
        <v>733</v>
      </c>
      <c r="B336" s="219" t="s">
        <v>177</v>
      </c>
      <c r="C336" s="42" t="s">
        <v>729</v>
      </c>
      <c r="D336" s="43" t="s">
        <v>176</v>
      </c>
      <c r="E336" s="70" t="s">
        <v>963</v>
      </c>
      <c r="F336" s="70" t="s">
        <v>963</v>
      </c>
      <c r="G336" s="213" t="s">
        <v>1213</v>
      </c>
    </row>
    <row r="337" spans="1:7" ht="47.25" x14ac:dyDescent="0.25">
      <c r="A337" s="211" t="s">
        <v>733</v>
      </c>
      <c r="B337" s="216" t="s">
        <v>177</v>
      </c>
      <c r="C337" s="42" t="s">
        <v>730</v>
      </c>
      <c r="D337" s="43" t="s">
        <v>731</v>
      </c>
      <c r="E337" s="70" t="s">
        <v>963</v>
      </c>
      <c r="F337" s="70" t="s">
        <v>963</v>
      </c>
      <c r="G337" s="213" t="s">
        <v>1214</v>
      </c>
    </row>
    <row r="338" spans="1:7" x14ac:dyDescent="0.25">
      <c r="A338" s="62">
        <v>14</v>
      </c>
      <c r="B338" s="63" t="s">
        <v>18</v>
      </c>
      <c r="C338" s="64"/>
      <c r="D338" s="222"/>
      <c r="E338" s="65"/>
      <c r="F338" s="65"/>
      <c r="G338" s="223"/>
    </row>
    <row r="339" spans="1:7" ht="31.5" x14ac:dyDescent="0.25">
      <c r="A339" s="211" t="s">
        <v>740</v>
      </c>
      <c r="B339" s="212" t="s">
        <v>505</v>
      </c>
      <c r="C339" s="42" t="s">
        <v>734</v>
      </c>
      <c r="D339" s="43" t="s">
        <v>735</v>
      </c>
      <c r="E339" s="70" t="s">
        <v>963</v>
      </c>
      <c r="F339" s="70" t="s">
        <v>963</v>
      </c>
      <c r="G339" s="213" t="s">
        <v>1215</v>
      </c>
    </row>
    <row r="340" spans="1:7" ht="31.5" x14ac:dyDescent="0.25">
      <c r="A340" s="211" t="s">
        <v>740</v>
      </c>
      <c r="B340" s="215" t="s">
        <v>505</v>
      </c>
      <c r="C340" s="42" t="s">
        <v>736</v>
      </c>
      <c r="D340" s="43" t="s">
        <v>431</v>
      </c>
      <c r="E340" s="70" t="s">
        <v>963</v>
      </c>
      <c r="F340" s="70" t="s">
        <v>963</v>
      </c>
      <c r="G340" s="213" t="s">
        <v>1216</v>
      </c>
    </row>
    <row r="341" spans="1:7" ht="47.25" x14ac:dyDescent="0.25">
      <c r="A341" s="211" t="s">
        <v>740</v>
      </c>
      <c r="B341" s="216" t="s">
        <v>505</v>
      </c>
      <c r="C341" s="42" t="s">
        <v>737</v>
      </c>
      <c r="D341" s="43" t="s">
        <v>186</v>
      </c>
      <c r="E341" s="70" t="s">
        <v>963</v>
      </c>
      <c r="F341" s="70" t="s">
        <v>963</v>
      </c>
      <c r="G341" s="213" t="s">
        <v>1217</v>
      </c>
    </row>
    <row r="342" spans="1:7" x14ac:dyDescent="0.25">
      <c r="A342" s="211" t="s">
        <v>741</v>
      </c>
      <c r="B342" s="218" t="s">
        <v>185</v>
      </c>
      <c r="C342" s="42" t="s">
        <v>738</v>
      </c>
      <c r="D342" s="43" t="s">
        <v>430</v>
      </c>
      <c r="E342" s="70" t="s">
        <v>963</v>
      </c>
      <c r="F342" s="70" t="s">
        <v>763</v>
      </c>
      <c r="G342" s="213" t="s">
        <v>1218</v>
      </c>
    </row>
    <row r="343" spans="1:7" x14ac:dyDescent="0.25">
      <c r="A343" s="211" t="s">
        <v>741</v>
      </c>
      <c r="B343" s="216" t="s">
        <v>185</v>
      </c>
      <c r="C343" s="42" t="s">
        <v>739</v>
      </c>
      <c r="D343" s="43" t="s">
        <v>184</v>
      </c>
      <c r="E343" s="70" t="s">
        <v>963</v>
      </c>
      <c r="F343" s="70" t="s">
        <v>763</v>
      </c>
      <c r="G343" s="213" t="s">
        <v>1218</v>
      </c>
    </row>
  </sheetData>
  <sheetProtection autoFilter="0"/>
  <autoFilter ref="A1:G343" xr:uid="{B158C983-4E4D-4FB4-B661-E9C4618E982E}"/>
  <conditionalFormatting sqref="E60">
    <cfRule type="containsText" dxfId="26" priority="24" operator="containsText" text="1">
      <formula>NOT(ISERROR(SEARCH("1",E60)))</formula>
    </cfRule>
  </conditionalFormatting>
  <conditionalFormatting sqref="E86:F86 E143 E151:F151">
    <cfRule type="containsText" dxfId="25" priority="25" operator="containsText" text="1">
      <formula>NOT(ISERROR(SEARCH(("1"),(E86))))</formula>
    </cfRule>
  </conditionalFormatting>
  <conditionalFormatting sqref="E155:F158">
    <cfRule type="containsText" dxfId="24" priority="26" operator="containsText" text="1">
      <formula>NOT(ISERROR(SEARCH(("1"),(E155))))</formula>
    </cfRule>
  </conditionalFormatting>
  <conditionalFormatting sqref="E214:F239 F273:F277">
    <cfRule type="containsText" dxfId="23" priority="11" operator="containsText" text="1">
      <formula>NOT(ISERROR(SEARCH(("1"),(E214))))</formula>
    </cfRule>
  </conditionalFormatting>
  <conditionalFormatting sqref="E214:F239">
    <cfRule type="containsText" dxfId="22" priority="12" operator="containsText" text="1">
      <formula>NOT(ISERROR(SEARCH(("1"),(E214))))</formula>
    </cfRule>
  </conditionalFormatting>
  <conditionalFormatting sqref="E239:F239">
    <cfRule type="containsText" dxfId="21" priority="13" operator="containsText" text="1">
      <formula>NOT(ISERROR(SEARCH(("1"),(E239))))</formula>
    </cfRule>
    <cfRule type="containsText" dxfId="20" priority="14" operator="containsText" text="1">
      <formula>NOT(ISERROR(SEARCH(("1"),(E239))))</formula>
    </cfRule>
    <cfRule type="containsText" dxfId="19" priority="15" operator="containsText" text="1">
      <formula>NOT(ISERROR(SEARCH(("1"),(E239))))</formula>
    </cfRule>
    <cfRule type="containsText" dxfId="18" priority="16" operator="containsText" text="1">
      <formula>NOT(ISERROR(SEARCH(("1"),(E239))))</formula>
    </cfRule>
    <cfRule type="containsText" dxfId="17" priority="17" operator="containsText" text="1">
      <formula>NOT(ISERROR(SEARCH(("1"),(E239))))</formula>
    </cfRule>
    <cfRule type="containsText" dxfId="16" priority="18" operator="containsText" text="1">
      <formula>NOT(ISERROR(SEARCH(("1"),(E239))))</formula>
    </cfRule>
  </conditionalFormatting>
  <conditionalFormatting sqref="E241:F271">
    <cfRule type="containsText" dxfId="15" priority="5" operator="containsText" text="1">
      <formula>NOT(ISERROR(SEARCH(("1"),(E241))))</formula>
    </cfRule>
  </conditionalFormatting>
  <conditionalFormatting sqref="E271:F271">
    <cfRule type="containsText" dxfId="14" priority="19" operator="containsText" text="1">
      <formula>NOT(ISERROR(SEARCH(("1"),(E271))))</formula>
    </cfRule>
    <cfRule type="containsText" dxfId="13" priority="20" operator="containsText" text="1">
      <formula>NOT(ISERROR(SEARCH(("1"),(E271))))</formula>
    </cfRule>
    <cfRule type="containsText" dxfId="12" priority="21" operator="containsText" text="1">
      <formula>NOT(ISERROR(SEARCH(("1"),(E271))))</formula>
    </cfRule>
    <cfRule type="containsText" dxfId="11" priority="22" operator="containsText" text="1">
      <formula>NOT(ISERROR(SEARCH(("1"),(E271))))</formula>
    </cfRule>
    <cfRule type="containsText" dxfId="10" priority="23" operator="containsText" text="1">
      <formula>NOT(ISERROR(SEARCH(("1"),(E271))))</formula>
    </cfRule>
  </conditionalFormatting>
  <conditionalFormatting sqref="E302:F312">
    <cfRule type="containsText" dxfId="9" priority="10" operator="containsText" text="1">
      <formula>NOT(ISERROR(SEARCH(("1"),(E302))))</formula>
    </cfRule>
  </conditionalFormatting>
  <conditionalFormatting sqref="E314:F315">
    <cfRule type="containsText" dxfId="8" priority="3" operator="containsText" text="1">
      <formula>NOT(ISERROR(SEARCH(("1"),(E314))))</formula>
    </cfRule>
  </conditionalFormatting>
  <conditionalFormatting sqref="E317:F319">
    <cfRule type="containsText" dxfId="7" priority="2" operator="containsText" text="1">
      <formula>NOT(ISERROR(SEARCH(("1"),(E317))))</formula>
    </cfRule>
  </conditionalFormatting>
  <conditionalFormatting sqref="E321:F326">
    <cfRule type="containsText" dxfId="6" priority="1" operator="containsText" text="1">
      <formula>NOT(ISERROR(SEARCH(("1"),(E321))))</formula>
    </cfRule>
  </conditionalFormatting>
  <conditionalFormatting sqref="E328:F337 E339:F340">
    <cfRule type="containsText" dxfId="5" priority="8" operator="containsText" text="1">
      <formula>NOT(ISERROR(SEARCH(("1"),(E328))))</formula>
    </cfRule>
  </conditionalFormatting>
  <conditionalFormatting sqref="E329:F337 E339:F340">
    <cfRule type="containsText" dxfId="4" priority="9" operator="containsText" text="1">
      <formula>NOT(ISERROR(SEARCH(("1"),(E329))))</formula>
    </cfRule>
  </conditionalFormatting>
  <conditionalFormatting sqref="F152:F154">
    <cfRule type="containsText" dxfId="3" priority="27" operator="containsText" text="1">
      <formula>NOT(ISERROR(SEARCH(("1"),(F152))))</formula>
    </cfRule>
  </conditionalFormatting>
  <conditionalFormatting sqref="F342:F343">
    <cfRule type="containsText" dxfId="2" priority="6" operator="containsText" text="1">
      <formula>NOT(ISERROR(SEARCH(("1"),(F342))))</formula>
    </cfRule>
    <cfRule type="containsText" dxfId="1" priority="7" operator="containsText" text="1">
      <formula>NOT(ISERROR(SEARCH(("1"),(F342))))</formula>
    </cfRule>
  </conditionalFormatting>
  <conditionalFormatting sqref="G278:G300">
    <cfRule type="containsText" dxfId="0" priority="4" operator="containsText" text="1">
      <formula>NOT(ISERROR(SEARCH(("1"),(G278))))</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3E33-0658-4B04-A50E-0598FB68E492}">
  <sheetPr>
    <tabColor rgb="FFFFFF00"/>
  </sheetPr>
  <dimension ref="B1:M179"/>
  <sheetViews>
    <sheetView showGridLines="0" topLeftCell="A113" zoomScale="70" zoomScaleNormal="70" workbookViewId="0">
      <selection activeCell="F7" sqref="F7"/>
    </sheetView>
  </sheetViews>
  <sheetFormatPr baseColWidth="10" defaultRowHeight="15.75" outlineLevelRow="1" x14ac:dyDescent="0.25"/>
  <cols>
    <col min="1" max="1" width="11.875" customWidth="1"/>
    <col min="2" max="2" width="42.25" bestFit="1" customWidth="1"/>
    <col min="3" max="3" width="5" style="3" bestFit="1" customWidth="1"/>
    <col min="4" max="4" width="50.25" bestFit="1" customWidth="1"/>
    <col min="5" max="5" width="1.625" customWidth="1"/>
    <col min="10" max="10" width="14.625" customWidth="1"/>
    <col min="13" max="13" width="11" style="4"/>
  </cols>
  <sheetData>
    <row r="1" spans="2:13" x14ac:dyDescent="0.25">
      <c r="F1">
        <v>10</v>
      </c>
      <c r="G1">
        <v>11</v>
      </c>
      <c r="H1">
        <v>9</v>
      </c>
      <c r="I1">
        <v>4</v>
      </c>
    </row>
    <row r="2" spans="2:13" x14ac:dyDescent="0.25">
      <c r="F2" s="63" t="s">
        <v>862</v>
      </c>
      <c r="G2" s="63" t="s">
        <v>863</v>
      </c>
      <c r="H2" s="63" t="s">
        <v>854</v>
      </c>
      <c r="I2" s="63" t="s">
        <v>861</v>
      </c>
    </row>
    <row r="3" spans="2:13" x14ac:dyDescent="0.25">
      <c r="B3" s="80" t="s">
        <v>867</v>
      </c>
      <c r="C3" s="80"/>
      <c r="D3" s="80" t="s">
        <v>867</v>
      </c>
      <c r="F3" s="81"/>
      <c r="G3" s="81">
        <f>+G5+G57+G104</f>
        <v>0</v>
      </c>
      <c r="H3" s="81">
        <f>+H5+H57+H104</f>
        <v>0</v>
      </c>
      <c r="I3" s="81">
        <f>+I5+I57+I104</f>
        <v>0.57607108692402809</v>
      </c>
      <c r="J3" s="120" t="str">
        <f>IFERROR(IF(ROUND((I3-G3)*100,1)&lt;0,"-"&amp;ROUND((I3-G3)*100,1)&amp;" pp vs AA","+"&amp;ROUND((I3-G3)*100,1)&amp;" pp vs AA"),"N/A")</f>
        <v>+57,6 pp vs AA</v>
      </c>
    </row>
    <row r="4" spans="2:13" x14ac:dyDescent="0.25">
      <c r="F4" t="str">
        <f>+F2</f>
        <v>EV 23</v>
      </c>
      <c r="G4" t="str">
        <f t="shared" ref="G4:I4" si="0">+G2</f>
        <v>EV 24</v>
      </c>
      <c r="H4" t="str">
        <f t="shared" si="0"/>
        <v>AE 25</v>
      </c>
      <c r="I4" t="str">
        <f t="shared" si="0"/>
        <v>EV 25</v>
      </c>
    </row>
    <row r="5" spans="2:13" x14ac:dyDescent="0.25">
      <c r="B5" s="80" t="s">
        <v>864</v>
      </c>
      <c r="C5" s="80"/>
      <c r="D5" s="80" t="s">
        <v>864</v>
      </c>
      <c r="F5" s="81"/>
      <c r="G5" s="81">
        <f>+Operacional!M4</f>
        <v>0</v>
      </c>
      <c r="H5" s="81">
        <f>+Operacional!K4</f>
        <v>0</v>
      </c>
      <c r="I5" s="81">
        <f>+Operacional!F4</f>
        <v>0.30436168521462637</v>
      </c>
    </row>
    <row r="6" spans="2:13" x14ac:dyDescent="0.25">
      <c r="B6" s="63" t="s">
        <v>363</v>
      </c>
      <c r="C6" s="63"/>
      <c r="D6" s="63" t="s">
        <v>363</v>
      </c>
      <c r="F6" s="77">
        <f>VLOOKUP($D6,Operacional!$C:$M,F$1,0)</f>
        <v>0</v>
      </c>
      <c r="G6" s="77">
        <f>VLOOKUP($D6,Operacional!$C:$M,G$1,0)</f>
        <v>0</v>
      </c>
      <c r="H6" s="77">
        <f>VLOOKUP($D6,Operacional!$C:$M,H$1,0)</f>
        <v>0</v>
      </c>
      <c r="I6" s="77">
        <f>VLOOKUP($D6,Operacional!$C:$M,I$1,0)</f>
        <v>0.35294117647058826</v>
      </c>
    </row>
    <row r="7" spans="2:13" hidden="1" outlineLevel="1" x14ac:dyDescent="0.25">
      <c r="B7" s="79" t="s">
        <v>363</v>
      </c>
      <c r="C7" s="78" t="s">
        <v>156</v>
      </c>
      <c r="D7" s="77" t="s">
        <v>522</v>
      </c>
      <c r="M7" s="4">
        <f>VLOOKUP(C7,Operacional!$B:$AB,17,0)</f>
        <v>0</v>
      </c>
    </row>
    <row r="8" spans="2:13" hidden="1" outlineLevel="1" x14ac:dyDescent="0.25">
      <c r="B8" s="79" t="s">
        <v>363</v>
      </c>
      <c r="C8" s="78" t="s">
        <v>322</v>
      </c>
      <c r="D8" s="77" t="s">
        <v>523</v>
      </c>
      <c r="M8" s="4">
        <f>VLOOKUP(C8,Operacional!$B:$AB,17,0)</f>
        <v>0</v>
      </c>
    </row>
    <row r="9" spans="2:13" hidden="1" outlineLevel="1" x14ac:dyDescent="0.25">
      <c r="B9" s="79" t="s">
        <v>363</v>
      </c>
      <c r="C9" s="78" t="s">
        <v>323</v>
      </c>
      <c r="D9" s="77" t="s">
        <v>585</v>
      </c>
      <c r="M9" s="4">
        <f>VLOOKUP(C9,Operacional!$B:$AB,17,0)</f>
        <v>0</v>
      </c>
    </row>
    <row r="10" spans="2:13" hidden="1" outlineLevel="1" x14ac:dyDescent="0.25">
      <c r="B10" s="79" t="s">
        <v>363</v>
      </c>
      <c r="C10" s="78" t="s">
        <v>324</v>
      </c>
      <c r="D10" s="77" t="s">
        <v>586</v>
      </c>
      <c r="M10" s="4">
        <f>VLOOKUP(C10,Operacional!$B:$AB,17,0)</f>
        <v>0</v>
      </c>
    </row>
    <row r="11" spans="2:13" hidden="1" outlineLevel="1" x14ac:dyDescent="0.25">
      <c r="B11" s="79" t="s">
        <v>363</v>
      </c>
      <c r="C11" s="78" t="s">
        <v>594</v>
      </c>
      <c r="D11" s="77" t="s">
        <v>587</v>
      </c>
      <c r="M11" s="4">
        <f>VLOOKUP(C11,Operacional!$B:$AB,17,0)</f>
        <v>0</v>
      </c>
    </row>
    <row r="12" spans="2:13" hidden="1" outlineLevel="1" x14ac:dyDescent="0.25">
      <c r="B12" s="79" t="s">
        <v>363</v>
      </c>
      <c r="C12" s="78" t="s">
        <v>595</v>
      </c>
      <c r="D12" s="77" t="s">
        <v>588</v>
      </c>
      <c r="M12" s="4">
        <f>VLOOKUP(C12,Operacional!$B:$AB,17,0)</f>
        <v>0</v>
      </c>
    </row>
    <row r="13" spans="2:13" hidden="1" outlineLevel="1" x14ac:dyDescent="0.25">
      <c r="B13" s="79" t="s">
        <v>363</v>
      </c>
      <c r="C13" s="78" t="s">
        <v>596</v>
      </c>
      <c r="D13" s="77" t="s">
        <v>589</v>
      </c>
      <c r="M13" s="4">
        <f>VLOOKUP(C13,Operacional!$B:$AB,17,0)</f>
        <v>0</v>
      </c>
    </row>
    <row r="14" spans="2:13" hidden="1" outlineLevel="1" x14ac:dyDescent="0.25">
      <c r="B14" s="79" t="s">
        <v>363</v>
      </c>
      <c r="C14" s="78" t="s">
        <v>597</v>
      </c>
      <c r="D14" s="77" t="s">
        <v>590</v>
      </c>
      <c r="M14" s="4">
        <f>VLOOKUP(C14,Operacional!$B:$AB,17,0)</f>
        <v>0</v>
      </c>
    </row>
    <row r="15" spans="2:13" hidden="1" outlineLevel="1" x14ac:dyDescent="0.25">
      <c r="B15" s="79" t="s">
        <v>363</v>
      </c>
      <c r="C15" s="78" t="s">
        <v>598</v>
      </c>
      <c r="D15" s="77" t="s">
        <v>591</v>
      </c>
      <c r="M15" s="4">
        <f>VLOOKUP(C15,Operacional!$B:$AB,17,0)</f>
        <v>0</v>
      </c>
    </row>
    <row r="16" spans="2:13" hidden="1" outlineLevel="1" x14ac:dyDescent="0.25">
      <c r="B16" s="79" t="s">
        <v>363</v>
      </c>
      <c r="C16" s="78" t="s">
        <v>599</v>
      </c>
      <c r="D16" s="77" t="s">
        <v>592</v>
      </c>
      <c r="M16" s="4">
        <f>VLOOKUP(C16,Operacional!$B:$AB,17,0)</f>
        <v>0</v>
      </c>
    </row>
    <row r="17" spans="2:13" hidden="1" outlineLevel="1" x14ac:dyDescent="0.25">
      <c r="B17" s="79" t="s">
        <v>363</v>
      </c>
      <c r="C17" s="78" t="s">
        <v>600</v>
      </c>
      <c r="D17" s="77" t="s">
        <v>593</v>
      </c>
      <c r="M17" s="4">
        <f>VLOOKUP(C17,Operacional!$B:$AB,17,0)</f>
        <v>0</v>
      </c>
    </row>
    <row r="18" spans="2:13" collapsed="1" x14ac:dyDescent="0.25">
      <c r="B18" s="63" t="s">
        <v>5</v>
      </c>
      <c r="C18" s="63"/>
      <c r="D18" s="63" t="s">
        <v>5</v>
      </c>
      <c r="F18" s="77">
        <f>VLOOKUP($D18,Operacional!$C:$M,F$1,0)</f>
        <v>0</v>
      </c>
      <c r="G18" s="77">
        <f>VLOOKUP($D18,Operacional!$C:$M,G$1,0)</f>
        <v>0</v>
      </c>
      <c r="H18" s="77">
        <f>VLOOKUP($D18,Operacional!$C:$M,H$1,0)</f>
        <v>0</v>
      </c>
      <c r="I18" s="77">
        <f>VLOOKUP($D18,Operacional!$C:$M,I$1,0)</f>
        <v>0.78378378378378377</v>
      </c>
    </row>
    <row r="19" spans="2:13" hidden="1" outlineLevel="1" x14ac:dyDescent="0.25">
      <c r="B19" s="79" t="s">
        <v>5</v>
      </c>
      <c r="C19" s="78" t="s">
        <v>325</v>
      </c>
      <c r="D19" s="77" t="s">
        <v>22</v>
      </c>
    </row>
    <row r="20" spans="2:13" hidden="1" outlineLevel="1" x14ac:dyDescent="0.25">
      <c r="B20" s="79" t="s">
        <v>5</v>
      </c>
      <c r="C20" s="78" t="s">
        <v>326</v>
      </c>
      <c r="D20" s="77" t="s">
        <v>25</v>
      </c>
    </row>
    <row r="21" spans="2:13" hidden="1" outlineLevel="1" x14ac:dyDescent="0.25">
      <c r="B21" s="79" t="s">
        <v>5</v>
      </c>
      <c r="C21" s="78" t="s">
        <v>327</v>
      </c>
      <c r="D21" s="77" t="s">
        <v>23</v>
      </c>
    </row>
    <row r="22" spans="2:13" hidden="1" outlineLevel="1" x14ac:dyDescent="0.25">
      <c r="B22" s="79" t="s">
        <v>5</v>
      </c>
      <c r="C22" s="78" t="s">
        <v>328</v>
      </c>
      <c r="D22" s="77" t="s">
        <v>24</v>
      </c>
    </row>
    <row r="23" spans="2:13" collapsed="1" x14ac:dyDescent="0.25">
      <c r="B23" s="63" t="s">
        <v>26</v>
      </c>
      <c r="C23" s="63"/>
      <c r="D23" s="63" t="s">
        <v>26</v>
      </c>
      <c r="F23" s="77">
        <f>VLOOKUP($D23,Operacional!$C:$M,F$1,0)</f>
        <v>0</v>
      </c>
      <c r="G23" s="77">
        <f>VLOOKUP($D23,Operacional!$C:$M,G$1,0)</f>
        <v>0</v>
      </c>
      <c r="H23" s="77">
        <f>VLOOKUP($D23,Operacional!$C:$M,H$1,0)</f>
        <v>0</v>
      </c>
      <c r="I23" s="77">
        <f>VLOOKUP($D23,Operacional!$C:$M,I$1,0)</f>
        <v>0.66666666666666663</v>
      </c>
    </row>
    <row r="24" spans="2:13" hidden="1" outlineLevel="1" x14ac:dyDescent="0.25">
      <c r="B24" s="79" t="s">
        <v>26</v>
      </c>
      <c r="C24" s="78" t="s">
        <v>334</v>
      </c>
      <c r="D24" s="77" t="s">
        <v>36</v>
      </c>
    </row>
    <row r="25" spans="2:13" hidden="1" outlineLevel="1" x14ac:dyDescent="0.25">
      <c r="B25" s="79" t="s">
        <v>26</v>
      </c>
      <c r="C25" s="78" t="s">
        <v>335</v>
      </c>
      <c r="D25" s="77" t="s">
        <v>508</v>
      </c>
    </row>
    <row r="26" spans="2:13" hidden="1" outlineLevel="1" x14ac:dyDescent="0.25">
      <c r="B26" s="79" t="s">
        <v>26</v>
      </c>
      <c r="C26" s="78" t="s">
        <v>336</v>
      </c>
      <c r="D26" s="77" t="s">
        <v>636</v>
      </c>
    </row>
    <row r="27" spans="2:13" hidden="1" outlineLevel="1" x14ac:dyDescent="0.25">
      <c r="B27" s="79" t="s">
        <v>26</v>
      </c>
      <c r="C27" s="78" t="s">
        <v>337</v>
      </c>
      <c r="D27" s="77" t="s">
        <v>37</v>
      </c>
    </row>
    <row r="28" spans="2:13" hidden="1" outlineLevel="1" x14ac:dyDescent="0.25">
      <c r="B28" s="79" t="s">
        <v>26</v>
      </c>
      <c r="C28" s="78" t="s">
        <v>338</v>
      </c>
      <c r="D28" s="77" t="s">
        <v>39</v>
      </c>
    </row>
    <row r="29" spans="2:13" hidden="1" outlineLevel="1" x14ac:dyDescent="0.25">
      <c r="B29" s="79" t="s">
        <v>26</v>
      </c>
      <c r="C29" s="78" t="s">
        <v>339</v>
      </c>
      <c r="D29" s="77" t="s">
        <v>40</v>
      </c>
    </row>
    <row r="30" spans="2:13" hidden="1" outlineLevel="1" x14ac:dyDescent="0.25">
      <c r="B30" s="79" t="s">
        <v>26</v>
      </c>
      <c r="C30" s="78" t="s">
        <v>340</v>
      </c>
      <c r="D30" s="77" t="s">
        <v>41</v>
      </c>
    </row>
    <row r="31" spans="2:13" hidden="1" outlineLevel="1" x14ac:dyDescent="0.25">
      <c r="B31" s="79" t="s">
        <v>26</v>
      </c>
      <c r="C31" s="78" t="s">
        <v>341</v>
      </c>
      <c r="D31" s="77" t="s">
        <v>47</v>
      </c>
    </row>
    <row r="32" spans="2:13" hidden="1" outlineLevel="1" x14ac:dyDescent="0.25">
      <c r="B32" s="79" t="s">
        <v>26</v>
      </c>
      <c r="C32" s="78" t="s">
        <v>342</v>
      </c>
      <c r="D32" s="77" t="s">
        <v>637</v>
      </c>
    </row>
    <row r="33" spans="2:9" hidden="1" outlineLevel="1" x14ac:dyDescent="0.25">
      <c r="B33" s="79" t="s">
        <v>26</v>
      </c>
      <c r="C33" s="78" t="s">
        <v>343</v>
      </c>
      <c r="D33" s="77" t="s">
        <v>45</v>
      </c>
    </row>
    <row r="34" spans="2:9" hidden="1" outlineLevel="1" x14ac:dyDescent="0.25">
      <c r="B34" s="79" t="s">
        <v>26</v>
      </c>
      <c r="C34" s="78" t="s">
        <v>344</v>
      </c>
      <c r="D34" s="77" t="s">
        <v>243</v>
      </c>
    </row>
    <row r="35" spans="2:9" hidden="1" outlineLevel="1" x14ac:dyDescent="0.25">
      <c r="B35" s="79" t="s">
        <v>26</v>
      </c>
      <c r="C35" s="78" t="s">
        <v>345</v>
      </c>
      <c r="D35" s="77" t="s">
        <v>43</v>
      </c>
    </row>
    <row r="36" spans="2:9" hidden="1" outlineLevel="1" x14ac:dyDescent="0.25">
      <c r="B36" s="79" t="s">
        <v>26</v>
      </c>
      <c r="C36" s="78" t="s">
        <v>346</v>
      </c>
      <c r="D36" s="77" t="s">
        <v>44</v>
      </c>
    </row>
    <row r="37" spans="2:9" hidden="1" outlineLevel="1" x14ac:dyDescent="0.25">
      <c r="B37" s="79" t="s">
        <v>26</v>
      </c>
      <c r="C37" s="78" t="s">
        <v>347</v>
      </c>
      <c r="D37" s="77" t="s">
        <v>42</v>
      </c>
    </row>
    <row r="38" spans="2:9" hidden="1" outlineLevel="1" x14ac:dyDescent="0.25">
      <c r="B38" s="79" t="s">
        <v>26</v>
      </c>
      <c r="C38" s="78" t="s">
        <v>348</v>
      </c>
      <c r="D38" s="77" t="s">
        <v>38</v>
      </c>
    </row>
    <row r="39" spans="2:9" hidden="1" outlineLevel="1" x14ac:dyDescent="0.25">
      <c r="B39" s="79" t="s">
        <v>26</v>
      </c>
      <c r="C39" s="78" t="s">
        <v>349</v>
      </c>
      <c r="D39" s="77" t="s">
        <v>49</v>
      </c>
    </row>
    <row r="40" spans="2:9" hidden="1" outlineLevel="1" x14ac:dyDescent="0.25">
      <c r="B40" s="79" t="s">
        <v>26</v>
      </c>
      <c r="C40" s="78" t="s">
        <v>350</v>
      </c>
      <c r="D40" s="77" t="s">
        <v>50</v>
      </c>
    </row>
    <row r="41" spans="2:9" hidden="1" outlineLevel="1" x14ac:dyDescent="0.25">
      <c r="B41" s="79" t="s">
        <v>26</v>
      </c>
      <c r="C41" s="78" t="s">
        <v>351</v>
      </c>
      <c r="D41" s="77" t="s">
        <v>46</v>
      </c>
    </row>
    <row r="42" spans="2:9" hidden="1" outlineLevel="1" x14ac:dyDescent="0.25">
      <c r="B42" s="79" t="s">
        <v>26</v>
      </c>
      <c r="C42" s="78" t="s">
        <v>352</v>
      </c>
      <c r="D42" s="77" t="s">
        <v>48</v>
      </c>
    </row>
    <row r="43" spans="2:9" hidden="1" outlineLevel="1" x14ac:dyDescent="0.25">
      <c r="B43" s="79" t="s">
        <v>26</v>
      </c>
      <c r="C43" s="78" t="s">
        <v>353</v>
      </c>
      <c r="D43" s="77" t="s">
        <v>638</v>
      </c>
    </row>
    <row r="44" spans="2:9" collapsed="1" x14ac:dyDescent="0.25">
      <c r="B44" s="63" t="s">
        <v>15</v>
      </c>
      <c r="C44" s="63"/>
      <c r="D44" s="63" t="s">
        <v>15</v>
      </c>
      <c r="F44" s="77">
        <f>VLOOKUP($D44,Operacional!$C:$M,F$1,0)</f>
        <v>0</v>
      </c>
      <c r="G44" s="77">
        <f>VLOOKUP($D44,Operacional!$C:$M,G$1,0)</f>
        <v>0</v>
      </c>
      <c r="H44" s="77">
        <f>VLOOKUP($D44,Operacional!$C:$M,H$1,0)</f>
        <v>0</v>
      </c>
      <c r="I44" s="77">
        <f>VLOOKUP($D44,Operacional!$C:$M,I$1,0)</f>
        <v>0.28000000000000003</v>
      </c>
    </row>
    <row r="45" spans="2:9" hidden="1" outlineLevel="1" x14ac:dyDescent="0.25">
      <c r="B45" s="79" t="s">
        <v>15</v>
      </c>
      <c r="C45" s="78" t="s">
        <v>354</v>
      </c>
      <c r="D45" s="77" t="s">
        <v>654</v>
      </c>
    </row>
    <row r="46" spans="2:9" hidden="1" outlineLevel="1" x14ac:dyDescent="0.25">
      <c r="B46" s="79" t="s">
        <v>15</v>
      </c>
      <c r="C46" s="78" t="s">
        <v>355</v>
      </c>
      <c r="D46" s="77" t="s">
        <v>29</v>
      </c>
    </row>
    <row r="47" spans="2:9" hidden="1" outlineLevel="1" x14ac:dyDescent="0.25">
      <c r="B47" s="79" t="s">
        <v>15</v>
      </c>
      <c r="C47" s="78" t="s">
        <v>356</v>
      </c>
      <c r="D47" s="77" t="s">
        <v>329</v>
      </c>
    </row>
    <row r="48" spans="2:9" hidden="1" outlineLevel="1" x14ac:dyDescent="0.25">
      <c r="B48" s="79" t="s">
        <v>15</v>
      </c>
      <c r="C48" s="78" t="s">
        <v>357</v>
      </c>
      <c r="D48" s="77" t="s">
        <v>249</v>
      </c>
    </row>
    <row r="49" spans="2:9" hidden="1" outlineLevel="1" x14ac:dyDescent="0.25">
      <c r="B49" s="79" t="s">
        <v>15</v>
      </c>
      <c r="C49" s="78" t="s">
        <v>358</v>
      </c>
      <c r="D49" s="77" t="s">
        <v>253</v>
      </c>
    </row>
    <row r="50" spans="2:9" hidden="1" outlineLevel="1" x14ac:dyDescent="0.25">
      <c r="B50" s="79" t="s">
        <v>15</v>
      </c>
      <c r="C50" s="78" t="s">
        <v>359</v>
      </c>
      <c r="D50" s="77" t="s">
        <v>255</v>
      </c>
    </row>
    <row r="51" spans="2:9" hidden="1" outlineLevel="1" x14ac:dyDescent="0.25">
      <c r="B51" s="79" t="s">
        <v>15</v>
      </c>
      <c r="C51" s="78" t="s">
        <v>360</v>
      </c>
      <c r="D51" s="77" t="s">
        <v>256</v>
      </c>
    </row>
    <row r="52" spans="2:9" hidden="1" outlineLevel="1" x14ac:dyDescent="0.25">
      <c r="B52" s="79" t="s">
        <v>15</v>
      </c>
      <c r="C52" s="78" t="s">
        <v>655</v>
      </c>
      <c r="D52" s="77" t="s">
        <v>509</v>
      </c>
    </row>
    <row r="53" spans="2:9" hidden="1" outlineLevel="1" x14ac:dyDescent="0.25">
      <c r="B53" s="79" t="s">
        <v>15</v>
      </c>
      <c r="C53" s="78" t="s">
        <v>821</v>
      </c>
      <c r="D53" s="77" t="s">
        <v>265</v>
      </c>
    </row>
    <row r="54" spans="2:9" collapsed="1" x14ac:dyDescent="0.25">
      <c r="B54" s="63" t="s">
        <v>16</v>
      </c>
      <c r="C54" s="63"/>
      <c r="D54" s="63" t="s">
        <v>16</v>
      </c>
      <c r="F54" s="77">
        <f>VLOOKUP($D54,Operacional!$C:$M,F$1,0)</f>
        <v>0</v>
      </c>
      <c r="G54" s="77">
        <f>VLOOKUP($D54,Operacional!$C:$M,G$1,0)</f>
        <v>0</v>
      </c>
      <c r="H54" s="77">
        <f>VLOOKUP($D54,Operacional!$C:$M,H$1,0)</f>
        <v>0</v>
      </c>
      <c r="I54" s="77">
        <f>VLOOKUP($D54,Operacional!$C:$M,I$1,0)</f>
        <v>0.75</v>
      </c>
    </row>
    <row r="55" spans="2:9" hidden="1" outlineLevel="1" x14ac:dyDescent="0.25">
      <c r="B55" s="79" t="s">
        <v>16</v>
      </c>
      <c r="C55" s="78" t="s">
        <v>361</v>
      </c>
      <c r="D55" s="77" t="s">
        <v>27</v>
      </c>
    </row>
    <row r="56" spans="2:9" collapsed="1" x14ac:dyDescent="0.25"/>
    <row r="57" spans="2:9" x14ac:dyDescent="0.25">
      <c r="B57" s="80" t="s">
        <v>865</v>
      </c>
      <c r="C57" s="80"/>
      <c r="D57" s="80" t="s">
        <v>865</v>
      </c>
      <c r="F57" s="81"/>
      <c r="G57" s="81">
        <f>+Estandarización!M4</f>
        <v>0</v>
      </c>
      <c r="H57" s="81">
        <f>+Estandarización!K4</f>
        <v>0</v>
      </c>
      <c r="I57" s="81">
        <f>+Estandarización!F4</f>
        <v>0.22670940170940171</v>
      </c>
    </row>
    <row r="58" spans="2:9" x14ac:dyDescent="0.25">
      <c r="B58" s="63" t="s">
        <v>378</v>
      </c>
      <c r="C58" s="63"/>
      <c r="D58" s="63" t="s">
        <v>378</v>
      </c>
      <c r="F58" s="77">
        <f>VLOOKUP($D58,Estandarización!$C:$M,F$1,0)</f>
        <v>0</v>
      </c>
      <c r="G58" s="77">
        <f>VLOOKUP($D58,Estandarización!$C:$M,G$1,0)</f>
        <v>0</v>
      </c>
      <c r="H58" s="77">
        <f>VLOOKUP($D58,Estandarización!$C:$M,H$1,0)</f>
        <v>0</v>
      </c>
      <c r="I58" s="77">
        <f>VLOOKUP($D58,Estandarización!$C:$M,I$1,0)</f>
        <v>0.96153846153846156</v>
      </c>
    </row>
    <row r="59" spans="2:9" ht="16.5" hidden="1" customHeight="1" outlineLevel="1" x14ac:dyDescent="0.25">
      <c r="B59" s="79" t="s">
        <v>378</v>
      </c>
      <c r="C59" s="78" t="s">
        <v>364</v>
      </c>
      <c r="D59" s="77" t="s">
        <v>657</v>
      </c>
    </row>
    <row r="60" spans="2:9" hidden="1" outlineLevel="1" x14ac:dyDescent="0.25">
      <c r="B60" s="79" t="s">
        <v>378</v>
      </c>
      <c r="C60" s="78" t="s">
        <v>365</v>
      </c>
      <c r="D60" s="77" t="s">
        <v>284</v>
      </c>
    </row>
    <row r="61" spans="2:9" hidden="1" outlineLevel="1" x14ac:dyDescent="0.25">
      <c r="B61" s="79" t="s">
        <v>378</v>
      </c>
      <c r="C61" s="78" t="s">
        <v>366</v>
      </c>
      <c r="D61" s="77" t="s">
        <v>273</v>
      </c>
    </row>
    <row r="62" spans="2:9" hidden="1" outlineLevel="1" x14ac:dyDescent="0.25">
      <c r="B62" s="79" t="s">
        <v>378</v>
      </c>
      <c r="C62" s="78" t="s">
        <v>367</v>
      </c>
      <c r="D62" s="77" t="s">
        <v>510</v>
      </c>
    </row>
    <row r="63" spans="2:9" hidden="1" outlineLevel="1" x14ac:dyDescent="0.25">
      <c r="B63" s="79" t="s">
        <v>378</v>
      </c>
      <c r="C63" s="78" t="s">
        <v>368</v>
      </c>
      <c r="D63" s="77" t="s">
        <v>511</v>
      </c>
    </row>
    <row r="64" spans="2:9" hidden="1" outlineLevel="1" x14ac:dyDescent="0.25">
      <c r="B64" s="79" t="s">
        <v>378</v>
      </c>
      <c r="C64" s="78" t="s">
        <v>369</v>
      </c>
      <c r="D64" s="77" t="s">
        <v>274</v>
      </c>
    </row>
    <row r="65" spans="2:9" hidden="1" outlineLevel="1" x14ac:dyDescent="0.25">
      <c r="B65" s="79" t="s">
        <v>378</v>
      </c>
      <c r="C65" s="78" t="s">
        <v>370</v>
      </c>
      <c r="D65" s="77" t="s">
        <v>287</v>
      </c>
    </row>
    <row r="66" spans="2:9" hidden="1" outlineLevel="1" x14ac:dyDescent="0.25">
      <c r="B66" s="79" t="s">
        <v>378</v>
      </c>
      <c r="C66" s="78" t="s">
        <v>371</v>
      </c>
      <c r="D66" s="77" t="s">
        <v>512</v>
      </c>
    </row>
    <row r="67" spans="2:9" hidden="1" outlineLevel="1" x14ac:dyDescent="0.25">
      <c r="B67" s="79" t="s">
        <v>378</v>
      </c>
      <c r="C67" s="78" t="s">
        <v>372</v>
      </c>
      <c r="D67" s="77" t="s">
        <v>276</v>
      </c>
    </row>
    <row r="68" spans="2:9" hidden="1" outlineLevel="1" x14ac:dyDescent="0.25">
      <c r="B68" s="79" t="s">
        <v>378</v>
      </c>
      <c r="C68" s="78" t="s">
        <v>373</v>
      </c>
      <c r="D68" s="77" t="s">
        <v>275</v>
      </c>
    </row>
    <row r="69" spans="2:9" hidden="1" outlineLevel="1" x14ac:dyDescent="0.25">
      <c r="B69" s="79" t="s">
        <v>378</v>
      </c>
      <c r="C69" s="78" t="s">
        <v>374</v>
      </c>
      <c r="D69" s="77" t="s">
        <v>277</v>
      </c>
    </row>
    <row r="70" spans="2:9" hidden="1" outlineLevel="1" x14ac:dyDescent="0.25">
      <c r="B70" s="79" t="s">
        <v>378</v>
      </c>
      <c r="C70" s="78" t="s">
        <v>375</v>
      </c>
      <c r="D70" s="77" t="s">
        <v>278</v>
      </c>
    </row>
    <row r="71" spans="2:9" hidden="1" outlineLevel="1" x14ac:dyDescent="0.25">
      <c r="B71" s="79" t="s">
        <v>378</v>
      </c>
      <c r="C71" s="78" t="s">
        <v>376</v>
      </c>
      <c r="D71" s="77" t="s">
        <v>280</v>
      </c>
    </row>
    <row r="72" spans="2:9" collapsed="1" x14ac:dyDescent="0.25">
      <c r="B72" s="63" t="s">
        <v>386</v>
      </c>
      <c r="C72" s="63"/>
      <c r="D72" s="63" t="s">
        <v>386</v>
      </c>
      <c r="F72" s="77">
        <f>VLOOKUP($D72,Estandarización!$C:$M,F$1,0)</f>
        <v>0</v>
      </c>
      <c r="G72" s="77">
        <f>VLOOKUP($D72,Estandarización!$C:$M,G$1,0)</f>
        <v>0</v>
      </c>
      <c r="H72" s="77">
        <f>VLOOKUP($D72,Estandarización!$C:$M,H$1,0)</f>
        <v>0</v>
      </c>
      <c r="I72" s="77">
        <f>VLOOKUP($D72,Estandarización!$C:$M,I$1,0)</f>
        <v>0.91666666666666663</v>
      </c>
    </row>
    <row r="73" spans="2:9" hidden="1" outlineLevel="1" x14ac:dyDescent="0.25">
      <c r="B73" s="79" t="s">
        <v>386</v>
      </c>
      <c r="C73" s="78" t="s">
        <v>76</v>
      </c>
      <c r="D73" s="77" t="s">
        <v>413</v>
      </c>
    </row>
    <row r="74" spans="2:9" hidden="1" outlineLevel="1" x14ac:dyDescent="0.25">
      <c r="B74" s="79" t="s">
        <v>386</v>
      </c>
      <c r="C74" s="78" t="s">
        <v>77</v>
      </c>
      <c r="D74" s="77" t="s">
        <v>285</v>
      </c>
    </row>
    <row r="75" spans="2:9" hidden="1" outlineLevel="1" x14ac:dyDescent="0.25">
      <c r="B75" s="79" t="s">
        <v>386</v>
      </c>
      <c r="C75" s="78" t="s">
        <v>78</v>
      </c>
      <c r="D75" s="77" t="s">
        <v>279</v>
      </c>
    </row>
    <row r="76" spans="2:9" hidden="1" outlineLevel="1" x14ac:dyDescent="0.25">
      <c r="B76" s="79" t="s">
        <v>386</v>
      </c>
      <c r="C76" s="78" t="s">
        <v>79</v>
      </c>
      <c r="D76" s="77" t="s">
        <v>281</v>
      </c>
    </row>
    <row r="77" spans="2:9" hidden="1" outlineLevel="1" x14ac:dyDescent="0.25">
      <c r="B77" s="79" t="s">
        <v>386</v>
      </c>
      <c r="C77" s="78" t="s">
        <v>315</v>
      </c>
      <c r="D77" s="77" t="s">
        <v>280</v>
      </c>
    </row>
    <row r="78" spans="2:9" hidden="1" outlineLevel="1" x14ac:dyDescent="0.25">
      <c r="B78" s="79" t="s">
        <v>386</v>
      </c>
      <c r="C78" s="78" t="s">
        <v>316</v>
      </c>
      <c r="D78" s="77" t="s">
        <v>286</v>
      </c>
    </row>
    <row r="79" spans="2:9" hidden="1" outlineLevel="1" x14ac:dyDescent="0.25">
      <c r="B79" s="79" t="s">
        <v>386</v>
      </c>
      <c r="C79" s="78" t="s">
        <v>672</v>
      </c>
      <c r="D79" s="77" t="s">
        <v>30</v>
      </c>
    </row>
    <row r="80" spans="2:9" collapsed="1" x14ac:dyDescent="0.25">
      <c r="B80" s="63" t="s">
        <v>17</v>
      </c>
      <c r="C80" s="63"/>
      <c r="D80" s="63" t="s">
        <v>17</v>
      </c>
      <c r="F80" s="77">
        <f>VLOOKUP($D80,Estandarización!$C:$M,F$1,0)</f>
        <v>0</v>
      </c>
      <c r="G80" s="77">
        <f>VLOOKUP($D80,Estandarización!$C:$M,G$1,0)</f>
        <v>0</v>
      </c>
      <c r="H80" s="77">
        <f>VLOOKUP($D80,Estandarización!$C:$M,H$1,0)</f>
        <v>0</v>
      </c>
      <c r="I80" s="77">
        <f>VLOOKUP($D80,Estandarización!$C:$M,I$1,0)</f>
        <v>0.44444444444444442</v>
      </c>
    </row>
    <row r="81" spans="2:9" hidden="1" outlineLevel="1" x14ac:dyDescent="0.25">
      <c r="B81" s="79" t="s">
        <v>17</v>
      </c>
      <c r="C81" s="78" t="s">
        <v>80</v>
      </c>
      <c r="D81" s="77" t="s">
        <v>701</v>
      </c>
    </row>
    <row r="82" spans="2:9" hidden="1" outlineLevel="1" x14ac:dyDescent="0.25">
      <c r="B82" s="79" t="s">
        <v>17</v>
      </c>
      <c r="C82" s="78" t="s">
        <v>81</v>
      </c>
      <c r="D82" s="77" t="s">
        <v>702</v>
      </c>
    </row>
    <row r="83" spans="2:9" hidden="1" outlineLevel="1" x14ac:dyDescent="0.25">
      <c r="B83" s="79" t="s">
        <v>17</v>
      </c>
      <c r="C83" s="78" t="s">
        <v>317</v>
      </c>
      <c r="D83" s="77" t="s">
        <v>703</v>
      </c>
    </row>
    <row r="84" spans="2:9" hidden="1" outlineLevel="1" x14ac:dyDescent="0.25">
      <c r="B84" s="79" t="s">
        <v>17</v>
      </c>
      <c r="C84" s="78" t="s">
        <v>318</v>
      </c>
      <c r="D84" s="77" t="s">
        <v>272</v>
      </c>
    </row>
    <row r="85" spans="2:9" hidden="1" outlineLevel="1" x14ac:dyDescent="0.25">
      <c r="B85" s="79" t="s">
        <v>17</v>
      </c>
      <c r="C85" s="78" t="s">
        <v>319</v>
      </c>
      <c r="D85" s="77" t="s">
        <v>282</v>
      </c>
    </row>
    <row r="86" spans="2:9" hidden="1" outlineLevel="1" x14ac:dyDescent="0.25">
      <c r="B86" s="79" t="s">
        <v>17</v>
      </c>
      <c r="C86" s="78" t="s">
        <v>320</v>
      </c>
      <c r="D86" s="77" t="s">
        <v>283</v>
      </c>
    </row>
    <row r="87" spans="2:9" hidden="1" outlineLevel="1" x14ac:dyDescent="0.25">
      <c r="B87" s="79" t="s">
        <v>17</v>
      </c>
      <c r="C87" s="78" t="s">
        <v>321</v>
      </c>
      <c r="D87" s="77" t="s">
        <v>513</v>
      </c>
    </row>
    <row r="88" spans="2:9" collapsed="1" x14ac:dyDescent="0.25">
      <c r="B88" s="63" t="s">
        <v>410</v>
      </c>
      <c r="C88" s="63"/>
      <c r="D88" s="63" t="s">
        <v>410</v>
      </c>
      <c r="F88" s="77">
        <f>VLOOKUP($D88,Estandarización!$C:$M,F$1,0)</f>
        <v>0</v>
      </c>
      <c r="G88" s="77">
        <f>VLOOKUP($D88,Estandarización!$C:$M,G$1,0)</f>
        <v>0</v>
      </c>
      <c r="H88" s="77">
        <f>VLOOKUP($D88,Estandarización!$C:$M,H$1,0)</f>
        <v>0</v>
      </c>
      <c r="I88" s="77">
        <f>VLOOKUP($D88,Estandarización!$C:$M,I$1,0)</f>
        <v>0.22222222222222221</v>
      </c>
    </row>
    <row r="89" spans="2:9" hidden="1" outlineLevel="1" x14ac:dyDescent="0.25">
      <c r="B89" s="79" t="s">
        <v>410</v>
      </c>
      <c r="C89" s="78" t="s">
        <v>398</v>
      </c>
      <c r="D89" s="77" t="s">
        <v>492</v>
      </c>
    </row>
    <row r="90" spans="2:9" hidden="1" outlineLevel="1" x14ac:dyDescent="0.25">
      <c r="B90" s="79" t="s">
        <v>410</v>
      </c>
      <c r="C90" s="78" t="s">
        <v>400</v>
      </c>
      <c r="D90" s="77" t="s">
        <v>495</v>
      </c>
    </row>
    <row r="91" spans="2:9" hidden="1" outlineLevel="1" x14ac:dyDescent="0.25">
      <c r="B91" s="79" t="s">
        <v>410</v>
      </c>
      <c r="C91" s="78" t="s">
        <v>406</v>
      </c>
      <c r="D91" s="77" t="s">
        <v>288</v>
      </c>
    </row>
    <row r="92" spans="2:9" hidden="1" outlineLevel="1" x14ac:dyDescent="0.25">
      <c r="B92" s="79" t="s">
        <v>410</v>
      </c>
      <c r="C92" s="78" t="s">
        <v>407</v>
      </c>
      <c r="D92" s="77" t="s">
        <v>187</v>
      </c>
    </row>
    <row r="93" spans="2:9" hidden="1" outlineLevel="1" x14ac:dyDescent="0.25">
      <c r="B93" s="79" t="s">
        <v>410</v>
      </c>
      <c r="C93" s="78" t="s">
        <v>408</v>
      </c>
      <c r="D93" s="77" t="s">
        <v>500</v>
      </c>
    </row>
    <row r="94" spans="2:9" hidden="1" outlineLevel="1" x14ac:dyDescent="0.25">
      <c r="B94" s="79" t="s">
        <v>410</v>
      </c>
      <c r="C94" s="78" t="s">
        <v>409</v>
      </c>
      <c r="D94" s="77" t="s">
        <v>289</v>
      </c>
    </row>
    <row r="95" spans="2:9" collapsed="1" x14ac:dyDescent="0.25">
      <c r="B95" s="63" t="s">
        <v>704</v>
      </c>
      <c r="C95" s="63"/>
      <c r="D95" s="63" t="s">
        <v>704</v>
      </c>
      <c r="F95" s="77">
        <f>VLOOKUP($D95,Estandarización!$C:$M,F$1,0)</f>
        <v>0</v>
      </c>
      <c r="G95" s="77">
        <f>VLOOKUP($D95,Estandarización!$C:$M,G$1,0)</f>
        <v>0</v>
      </c>
      <c r="H95" s="77">
        <f>VLOOKUP($D95,Estandarización!$C:$M,H$1,0)</f>
        <v>0</v>
      </c>
      <c r="I95" s="77">
        <f>VLOOKUP($D95,Estandarización!$C:$M,I$1,0)</f>
        <v>0</v>
      </c>
    </row>
    <row r="96" spans="2:9" hidden="1" outlineLevel="1" x14ac:dyDescent="0.25">
      <c r="B96" s="79" t="s">
        <v>704</v>
      </c>
      <c r="C96" s="78" t="s">
        <v>330</v>
      </c>
      <c r="D96" s="77" t="s">
        <v>715</v>
      </c>
    </row>
    <row r="97" spans="2:9" hidden="1" outlineLevel="1" x14ac:dyDescent="0.25">
      <c r="B97" s="79" t="s">
        <v>704</v>
      </c>
      <c r="C97" s="78" t="s">
        <v>331</v>
      </c>
      <c r="D97" s="77" t="s">
        <v>716</v>
      </c>
    </row>
    <row r="98" spans="2:9" collapsed="1" x14ac:dyDescent="0.25">
      <c r="B98" s="63" t="s">
        <v>705</v>
      </c>
      <c r="C98" s="63"/>
      <c r="D98" s="63" t="s">
        <v>705</v>
      </c>
      <c r="F98" s="77">
        <f>VLOOKUP($D98,Estandarización!$C:$M,F$1,0)</f>
        <v>0</v>
      </c>
      <c r="G98" s="77">
        <f>VLOOKUP($D98,Estandarización!$C:$M,G$1,0)</f>
        <v>0</v>
      </c>
      <c r="H98" s="77">
        <f>VLOOKUP($D98,Estandarización!$C:$M,H$1,0)</f>
        <v>0</v>
      </c>
      <c r="I98" s="77">
        <f>VLOOKUP($D98,Estandarización!$C:$M,I$1,0)</f>
        <v>0</v>
      </c>
    </row>
    <row r="99" spans="2:9" hidden="1" outlineLevel="1" x14ac:dyDescent="0.25">
      <c r="B99" s="79" t="s">
        <v>705</v>
      </c>
      <c r="C99" s="78" t="s">
        <v>332</v>
      </c>
      <c r="D99" s="77" t="s">
        <v>717</v>
      </c>
    </row>
    <row r="100" spans="2:9" hidden="1" outlineLevel="1" x14ac:dyDescent="0.25">
      <c r="B100" s="79" t="s">
        <v>705</v>
      </c>
      <c r="C100" s="78" t="s">
        <v>333</v>
      </c>
      <c r="D100" s="77" t="s">
        <v>718</v>
      </c>
    </row>
    <row r="101" spans="2:9" collapsed="1" x14ac:dyDescent="0.25">
      <c r="B101" s="63" t="s">
        <v>706</v>
      </c>
      <c r="C101" s="63"/>
      <c r="D101" s="63" t="s">
        <v>706</v>
      </c>
      <c r="F101" s="77">
        <f>VLOOKUP($D101,Estandarización!$C:$M,F$1,0)</f>
        <v>0</v>
      </c>
      <c r="G101" s="77">
        <f>VLOOKUP($D101,Estandarización!$C:$M,G$1,0)</f>
        <v>0</v>
      </c>
      <c r="H101" s="77">
        <f>VLOOKUP($D101,Estandarización!$C:$M,H$1,0)</f>
        <v>0</v>
      </c>
      <c r="I101" s="77">
        <f>VLOOKUP($D101,Estandarización!$C:$M,I$1,0)</f>
        <v>0</v>
      </c>
    </row>
    <row r="102" spans="2:9" hidden="1" outlineLevel="1" x14ac:dyDescent="0.25">
      <c r="B102" s="79" t="s">
        <v>706</v>
      </c>
      <c r="C102" s="78" t="s">
        <v>362</v>
      </c>
      <c r="D102" s="77" t="s">
        <v>719</v>
      </c>
    </row>
    <row r="103" spans="2:9" collapsed="1" x14ac:dyDescent="0.25">
      <c r="B103" s="77"/>
      <c r="C103" s="77"/>
      <c r="D103" s="77"/>
    </row>
    <row r="104" spans="2:9" x14ac:dyDescent="0.25">
      <c r="B104" s="80" t="s">
        <v>866</v>
      </c>
      <c r="C104" s="80"/>
      <c r="D104" s="80" t="s">
        <v>866</v>
      </c>
      <c r="F104" s="81"/>
      <c r="G104" s="81">
        <f>+Mejora!M4</f>
        <v>0</v>
      </c>
      <c r="H104" s="81">
        <f>+Mejora!K4</f>
        <v>0</v>
      </c>
      <c r="I104" s="81">
        <f>+Mejora!F4</f>
        <v>4.5000000000000005E-2</v>
      </c>
    </row>
    <row r="105" spans="2:9" x14ac:dyDescent="0.25">
      <c r="B105" s="63" t="s">
        <v>19</v>
      </c>
      <c r="C105" s="63"/>
      <c r="D105" s="63" t="s">
        <v>19</v>
      </c>
      <c r="F105" s="77">
        <f>VLOOKUP($D105,Mejora!$C:$M,F$1,0)</f>
        <v>0</v>
      </c>
      <c r="G105" s="77">
        <f>VLOOKUP($D105,Mejora!$C:$M,G$1,0)</f>
        <v>0</v>
      </c>
      <c r="H105" s="77">
        <f>VLOOKUP($D105,Mejora!$C:$M,H$1,0)</f>
        <v>0</v>
      </c>
      <c r="I105" s="77">
        <f>VLOOKUP($D105,Mejora!$C:$M,I$1,0)</f>
        <v>0.5</v>
      </c>
    </row>
    <row r="106" spans="2:9" hidden="1" outlineLevel="1" x14ac:dyDescent="0.25">
      <c r="B106" s="79" t="s">
        <v>19</v>
      </c>
      <c r="C106" s="78" t="s">
        <v>732</v>
      </c>
      <c r="D106" s="77" t="s">
        <v>178</v>
      </c>
    </row>
    <row r="107" spans="2:9" hidden="1" outlineLevel="1" x14ac:dyDescent="0.25">
      <c r="B107" s="79" t="s">
        <v>19</v>
      </c>
      <c r="C107" s="78" t="s">
        <v>733</v>
      </c>
      <c r="D107" s="77" t="s">
        <v>177</v>
      </c>
    </row>
    <row r="108" spans="2:9" collapsed="1" x14ac:dyDescent="0.25">
      <c r="B108" s="63" t="s">
        <v>18</v>
      </c>
      <c r="C108" s="63"/>
      <c r="D108" s="63" t="s">
        <v>18</v>
      </c>
      <c r="F108" s="77">
        <f>VLOOKUP($D108,Mejora!$C:$M,F$1,0)</f>
        <v>0</v>
      </c>
      <c r="G108" s="77">
        <f>VLOOKUP($D108,Mejora!$C:$M,G$1,0)</f>
        <v>0</v>
      </c>
      <c r="H108" s="77">
        <f>VLOOKUP($D108,Mejora!$C:$M,H$1,0)</f>
        <v>0</v>
      </c>
      <c r="I108" s="77">
        <f>VLOOKUP($D108,Mejora!$C:$M,I$1,0)</f>
        <v>0.4</v>
      </c>
    </row>
    <row r="109" spans="2:9" hidden="1" outlineLevel="1" x14ac:dyDescent="0.25">
      <c r="B109" s="79" t="s">
        <v>18</v>
      </c>
      <c r="C109" s="78" t="s">
        <v>740</v>
      </c>
      <c r="D109" s="77" t="s">
        <v>505</v>
      </c>
    </row>
    <row r="110" spans="2:9" hidden="1" outlineLevel="1" x14ac:dyDescent="0.25">
      <c r="B110" s="79" t="s">
        <v>18</v>
      </c>
      <c r="C110" s="78" t="s">
        <v>741</v>
      </c>
      <c r="D110" s="77" t="s">
        <v>185</v>
      </c>
    </row>
    <row r="111" spans="2:9" hidden="1" outlineLevel="1" x14ac:dyDescent="0.25">
      <c r="B111" s="79" t="s">
        <v>18</v>
      </c>
      <c r="C111" s="78" t="s">
        <v>742</v>
      </c>
      <c r="D111" s="77" t="s">
        <v>182</v>
      </c>
    </row>
    <row r="112" spans="2:9" collapsed="1" x14ac:dyDescent="0.25"/>
    <row r="113" spans="2:9" x14ac:dyDescent="0.25">
      <c r="F113" t="str">
        <f>+F2</f>
        <v>EV 23</v>
      </c>
      <c r="G113" t="str">
        <f t="shared" ref="G113:I113" si="1">+G2</f>
        <v>EV 24</v>
      </c>
      <c r="H113" t="str">
        <f t="shared" si="1"/>
        <v>AE 25</v>
      </c>
      <c r="I113" t="str">
        <f t="shared" si="1"/>
        <v>EV 25</v>
      </c>
    </row>
    <row r="114" spans="2:9" x14ac:dyDescent="0.25">
      <c r="B114" t="str">
        <f>+B5</f>
        <v>Nivel 1</v>
      </c>
      <c r="D114" t="str">
        <f>+D5</f>
        <v>Nivel 1</v>
      </c>
      <c r="F114" s="77">
        <f>+F5</f>
        <v>0</v>
      </c>
      <c r="G114" s="77">
        <f>+G5</f>
        <v>0</v>
      </c>
      <c r="H114" s="77">
        <f>+H5</f>
        <v>0</v>
      </c>
      <c r="I114" s="77">
        <f>+I5</f>
        <v>0.30436168521462637</v>
      </c>
    </row>
    <row r="115" spans="2:9" x14ac:dyDescent="0.25">
      <c r="B115" t="str">
        <f>+B57</f>
        <v>Nivel 2</v>
      </c>
      <c r="D115" t="str">
        <f>+D57</f>
        <v>Nivel 2</v>
      </c>
      <c r="F115" s="77">
        <f>+F57</f>
        <v>0</v>
      </c>
      <c r="G115" s="77">
        <f>+G57</f>
        <v>0</v>
      </c>
      <c r="H115" s="77">
        <f>+H57</f>
        <v>0</v>
      </c>
      <c r="I115" s="77">
        <f>+I57</f>
        <v>0.22670940170940171</v>
      </c>
    </row>
    <row r="116" spans="2:9" x14ac:dyDescent="0.25">
      <c r="B116" t="str">
        <f>+B104</f>
        <v>Nivel 3</v>
      </c>
      <c r="D116" t="str">
        <f>+D104</f>
        <v>Nivel 3</v>
      </c>
      <c r="F116" s="77">
        <f>+F104</f>
        <v>0</v>
      </c>
      <c r="G116" s="77">
        <f>+G104</f>
        <v>0</v>
      </c>
      <c r="H116" s="77">
        <f>+H104</f>
        <v>0</v>
      </c>
      <c r="I116" s="77">
        <f>+I104</f>
        <v>4.5000000000000005E-2</v>
      </c>
    </row>
    <row r="117" spans="2:9" x14ac:dyDescent="0.25">
      <c r="D117" t="s">
        <v>515</v>
      </c>
    </row>
    <row r="118" spans="2:9" x14ac:dyDescent="0.25">
      <c r="F118" s="82">
        <f>+F3</f>
        <v>0</v>
      </c>
      <c r="G118" s="82">
        <f>+G3</f>
        <v>0</v>
      </c>
      <c r="H118" s="82">
        <f>+H3</f>
        <v>0</v>
      </c>
      <c r="I118" s="82">
        <f>+I3</f>
        <v>0.57607108692402809</v>
      </c>
    </row>
    <row r="123" spans="2:9" x14ac:dyDescent="0.25">
      <c r="B123" t="s">
        <v>868</v>
      </c>
    </row>
    <row r="124" spans="2:9" ht="18" x14ac:dyDescent="0.25">
      <c r="B124" s="12" t="s">
        <v>143</v>
      </c>
      <c r="C124" s="11"/>
      <c r="D124" s="10" t="s">
        <v>139</v>
      </c>
      <c r="F124" t="str">
        <f>+D125</f>
        <v>ACTIVO</v>
      </c>
      <c r="G124" s="86">
        <v>0.85</v>
      </c>
    </row>
    <row r="125" spans="2:9" ht="18" x14ac:dyDescent="0.25">
      <c r="B125" s="15" t="s">
        <v>144</v>
      </c>
      <c r="C125" s="14"/>
      <c r="D125" s="13" t="s">
        <v>138</v>
      </c>
      <c r="F125" t="str">
        <f t="shared" ref="F125:F126" si="2">+D126</f>
        <v>REACTIVO</v>
      </c>
      <c r="G125" s="86">
        <f>+G124</f>
        <v>0.85</v>
      </c>
      <c r="H125" s="86">
        <v>0.7</v>
      </c>
    </row>
    <row r="126" spans="2:9" ht="18" x14ac:dyDescent="0.25">
      <c r="B126" s="6" t="s">
        <v>145</v>
      </c>
      <c r="C126" s="7"/>
      <c r="D126" s="5" t="s">
        <v>140</v>
      </c>
      <c r="F126" t="str">
        <f t="shared" si="2"/>
        <v>INACTIVO</v>
      </c>
      <c r="G126" s="86">
        <f>+H125</f>
        <v>0.7</v>
      </c>
      <c r="H126" s="86">
        <v>0.5</v>
      </c>
    </row>
    <row r="127" spans="2:9" ht="18" x14ac:dyDescent="0.25">
      <c r="B127" s="6" t="s">
        <v>146</v>
      </c>
      <c r="C127" s="7"/>
      <c r="D127" s="5" t="s">
        <v>141</v>
      </c>
      <c r="F127" t="str">
        <f>+D127</f>
        <v>INACTIVO</v>
      </c>
      <c r="G127" s="86">
        <f>+H126</f>
        <v>0.5</v>
      </c>
      <c r="H127" s="86">
        <v>0.25</v>
      </c>
    </row>
    <row r="128" spans="2:9" ht="18" x14ac:dyDescent="0.25">
      <c r="B128" s="18" t="s">
        <v>147</v>
      </c>
      <c r="C128" s="17"/>
      <c r="D128" s="16" t="s">
        <v>142</v>
      </c>
      <c r="G128" s="86">
        <f>+H127</f>
        <v>0.25</v>
      </c>
      <c r="H128" s="86">
        <v>0</v>
      </c>
    </row>
    <row r="131" spans="2:4" x14ac:dyDescent="0.25">
      <c r="B131" s="93">
        <f>+I3</f>
        <v>0.57607108692402809</v>
      </c>
      <c r="D131" t="str">
        <f>IF(B131&gt;=G124,D124,IF(AND((B131&lt;G125),(B131&gt;=H125)),D125,IF(AND((B131&lt;G126),(B131&gt;=H126)),D126,D127)))</f>
        <v>REACTIVO</v>
      </c>
    </row>
    <row r="133" spans="2:4" x14ac:dyDescent="0.25">
      <c r="D133" t="str">
        <f>+ROUND(B131*100,1)&amp;"%"&amp;" "&amp;D131</f>
        <v>57,6% REACTIVO</v>
      </c>
    </row>
    <row r="134" spans="2:4" x14ac:dyDescent="0.25">
      <c r="B134" t="str">
        <f>+Condicionales!O18</f>
        <v>CAE 1 ESTADIO</v>
      </c>
      <c r="D134" t="str">
        <f>IF(B134="MANTIENE ESTADIO",D131,VLOOKUP(D131,D124:F128,3,0))</f>
        <v>INACTIVO</v>
      </c>
    </row>
    <row r="135" spans="2:4" x14ac:dyDescent="0.25">
      <c r="D135" t="str">
        <f>+"Estadio final 2025: "&amp;D134</f>
        <v>Estadio final 2025: INACTIVO</v>
      </c>
    </row>
    <row r="179" ht="15.75" customHeight="1" x14ac:dyDescent="0.25"/>
  </sheetData>
  <autoFilter ref="B2:D111" xr:uid="{D1413E33-0658-4B04-A50E-0598FB68E49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Resumen  - Se oculta 2,0</vt:lpstr>
      <vt:lpstr>Inicio</vt:lpstr>
      <vt:lpstr>2.0&gt;&gt;&gt;</vt:lpstr>
      <vt:lpstr>Dashboard Gral (2.0)</vt:lpstr>
      <vt:lpstr>Condicionales 2.0</vt:lpstr>
      <vt:lpstr>IFT</vt:lpstr>
      <vt:lpstr>PLG</vt:lpstr>
      <vt:lpstr>GST</vt:lpstr>
      <vt:lpstr>IDP</vt:lpstr>
      <vt:lpstr>Guia de Evidencias 2,0</vt:lpstr>
      <vt:lpstr>Plan de Acción</vt:lpstr>
      <vt:lpstr>5.0&gt;&gt;&gt;</vt:lpstr>
      <vt:lpstr>Dashboard Gral</vt:lpstr>
      <vt:lpstr>Operacional</vt:lpstr>
      <vt:lpstr>Estandarización</vt:lpstr>
      <vt:lpstr>Mejora</vt:lpstr>
      <vt:lpstr>Condicionales</vt:lpstr>
      <vt:lpstr>Zoom QA</vt:lpstr>
      <vt:lpstr>Zoom SUST</vt:lpstr>
      <vt:lpstr>Summary BPL</vt:lpstr>
      <vt:lpstr>Guia Evidencias 5,0</vt:lpstr>
      <vt:lpstr>Resumen  - Se oculta 5,0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TomasF</dc:creator>
  <cp:keywords/>
  <dc:description/>
  <cp:lastModifiedBy>Pablo Canosa</cp:lastModifiedBy>
  <dcterms:created xsi:type="dcterms:W3CDTF">2022-11-03T12:01:51Z</dcterms:created>
  <dcterms:modified xsi:type="dcterms:W3CDTF">2026-06-02T16:46:15Z</dcterms:modified>
  <cp:category/>
</cp:coreProperties>
</file>